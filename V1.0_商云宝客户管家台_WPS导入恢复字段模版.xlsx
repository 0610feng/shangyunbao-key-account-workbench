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1f77d1db740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b02e3b839f74946"/>
    <x:sheet xmlns:r="http://schemas.openxmlformats.org/officeDocument/2006/relationships" name="字段说明" sheetId="2" r:id="R2cfc0e3f551049d7"/>
    <x:sheet xmlns:r="http://schemas.openxmlformats.org/officeDocument/2006/relationships" name="工单" sheetId="3" r:id="Rd4f29afe41bd482f"/>
    <x:sheet xmlns:r="http://schemas.openxmlformats.org/officeDocument/2006/relationships" name="跟进记录" sheetId="4" r:id="R1a9fcbb79a2f4eca"/>
    <x:sheet xmlns:r="http://schemas.openxmlformats.org/officeDocument/2006/relationships" name="知识库" sheetId="5" r:id="R6f06fb70e5014695"/>
    <x:sheet xmlns:r="http://schemas.openxmlformats.org/officeDocument/2006/relationships" name="已完成归档" sheetId="6" r:id="R52ea2368422b40ee"/>
    <x:sheet xmlns:r="http://schemas.openxmlformats.org/officeDocument/2006/relationships" name="日报备注" sheetId="7" r:id="R40c7b9752aa14a05"/>
    <x:sheet xmlns:r="http://schemas.openxmlformats.org/officeDocument/2006/relationships" name="备份信息" sheetId="8" r:id="R3d787cb8fd8544c1"/>
    <x:sheet xmlns:r="http://schemas.openxmlformats.org/officeDocument/2006/relationships" name="枚举选项" sheetId="9" r:id="R1a9fc97ebaaa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&quot;T&quot;hh:mm:ss.000&quot;Z&quot;"/>
    <x:numFmt numFmtId="201" formatCode="@"/>
    <x:numFmt numFmtId="202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sz val="10"/>
      <x:color rgb="FF1E293B"/>
      <x:name val="Carlito"/>
    </x:font>
    <x:font>
      <x:b/>
      <x:sz val="11"/>
      <x:color rgb="FFB45309"/>
      <x:name val="Carlito"/>
    </x:font>
    <x:font>
      <x:b/>
      <x:sz val="12"/>
      <x:color rgb="FFFFFFFF"/>
      <x:name val="Carlito"/>
    </x:font>
    <x:font>
      <x:b/>
      <x:sz val="11"/>
      <x:color rgb="FF1E3A8A"/>
      <x:name val="Carlito"/>
    </x:font>
    <x:font>
      <x:sz val="11"/>
      <x:color rgb="FF1E293B"/>
      <x:name val="Carlito"/>
    </x:font>
    <x:font>
      <x:b/>
      <x:sz val="14"/>
      <x:color rgb="FF2563EB"/>
      <x:name val="Carlito"/>
    </x:font>
    <x:font>
      <x:b/>
      <x:sz val="14"/>
      <x:color rgb="FF1E3A8A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b/>
      <x:sz val="9"/>
      <x:color rgb="FF1E3A8A"/>
      <x:name val="Carlito"/>
    </x:font>
    <x:font>
      <x:b/>
      <x:sz val="10"/>
      <x:color rgb="FFB45309"/>
      <x:name val="Carlito"/>
    </x:font>
    <x:font>
      <x:sz val="11"/>
      <x:color rgb="FF47556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7" borderId="0" xfId="0" applyNumberFormat="1" applyFont="1" applyFill="1" applyBorder="1"/>
    <x:xf numFmtId="0" fontId="10" fillId="7" borderId="0" xfId="0" applyNumberFormat="1" applyFont="1" applyFill="1" applyBorder="1"/>
    <x:xf numFmtId="20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20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top" wrapText="1"/>
    </x:xf>
    <x:xf numFmtId="200" fontId="10" fillId="7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horizontal="center" vertical="top" wrapText="1"/>
    </x:xf>
    <x:xf numFmtId="0" fontId="11" fillId="3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horizontal="center" vertical="top" wrapText="1"/>
    </x:xf>
    <x:xf numFmtId="200" fontId="10" fillId="7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201" fontId="0" fillId="9" borderId="0" xfId="0" applyNumberFormat="1" applyFont="1" applyFill="1" applyBorder="1"/>
    <x:xf numFmtId="0" fontId="0" fillId="9" borderId="0" xfId="0" applyNumberFormat="1" applyFont="1" applyFill="1" applyBorder="1"/>
    <x:xf numFmtId="202" fontId="0" fillId="9" borderId="0" xfId="0" applyNumberFormat="1" applyFont="1" applyFill="1" applyBorder="1"/>
    <x:xf numFmtId="200" fontId="0" fillId="9" borderId="0" xfId="0" applyNumberFormat="1" applyFont="1" applyFill="1" applyBorder="1"/>
    <x:xf numFmtId="201" fontId="13" fillId="9" borderId="0" xfId="0" applyNumberFormat="1" applyFont="1" applyFill="1" applyBorder="1"/>
    <x:xf numFmtId="0" fontId="13" fillId="9" borderId="0" xfId="0" applyNumberFormat="1" applyFont="1" applyFill="1" applyBorder="1"/>
    <x:xf numFmtId="202" fontId="13" fillId="9" borderId="0" xfId="0" applyNumberFormat="1" applyFont="1" applyFill="1" applyBorder="1"/>
    <x:xf numFmtId="200" fontId="13" fillId="9" borderId="0" xfId="0" applyNumberFormat="1" applyFont="1" applyFill="1" applyBorder="1"/>
    <x:xf numFmtId="201" fontId="13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wrapText="1"/>
    </x:xf>
    <x:xf numFmtId="202" fontId="13" fillId="9" borderId="0" xfId="0" applyNumberFormat="1" applyFont="1" applyFill="1" applyBorder="1" applyAlignment="1">
      <x:alignment wrapText="1"/>
    </x:xf>
    <x:xf numFmtId="200" fontId="13" fillId="9" borderId="0" xfId="0" applyNumberFormat="1" applyFont="1" applyFill="1" applyBorder="1" applyAlignment="1">
      <x:alignment wrapText="1"/>
    </x:xf>
    <x:xf numFmtId="201" fontId="13" fillId="9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 wrapText="1"/>
    </x:xf>
    <x:xf numFmtId="202" fontId="13" fillId="9" borderId="0" xfId="0" applyNumberFormat="1" applyFont="1" applyFill="1" applyBorder="1" applyAlignment="1">
      <x:alignment vertical="center" wrapText="1"/>
    </x:xf>
    <x:xf numFmtId="200" fontId="13" fillId="9" borderId="0" xfId="0" applyNumberFormat="1" applyFont="1" applyFill="1" applyBorder="1" applyAlignment="1">
      <x:alignment vertical="center" wrapText="1"/>
    </x:xf>
    <x:xf numFmtId="201" fontId="0" fillId="7" borderId="0" xfId="0" applyNumberFormat="1" applyFont="1" applyFill="1" applyBorder="1"/>
    <x:xf numFmtId="202" fontId="0" fillId="7" borderId="0" xfId="0" applyNumberFormat="1" applyFont="1" applyFill="1" applyBorder="1"/>
    <x:xf numFmtId="201" fontId="6" fillId="7" borderId="0" xfId="0" applyNumberFormat="1" applyFont="1" applyFill="1" applyBorder="1"/>
    <x:xf numFmtId="202" fontId="6" fillId="7" borderId="0" xfId="0" applyNumberFormat="1" applyFont="1" applyFill="1" applyBorder="1"/>
    <x:xf numFmtId="200" fontId="6" fillId="7" borderId="0" xfId="0" applyNumberFormat="1" applyFont="1" applyFill="1" applyBorder="1"/>
    <x:xf numFmtId="201" fontId="6" fillId="7" borderId="0" xfId="0" applyNumberFormat="1" applyFont="1" applyFill="1" applyBorder="1" applyAlignment="1">
      <x:alignment wrapText="1"/>
    </x:xf>
    <x:xf numFmtId="202" fontId="6" fillId="7" borderId="0" xfId="0" applyNumberFormat="1" applyFont="1" applyFill="1" applyBorder="1" applyAlignment="1">
      <x:alignment wrapText="1"/>
    </x:xf>
    <x:xf numFmtId="200" fontId="6" fillId="7" borderId="0" xfId="0" applyNumberFormat="1" applyFont="1" applyFill="1" applyBorder="1" applyAlignment="1">
      <x:alignment wrapText="1"/>
    </x:xf>
    <x:xf numFmtId="201" fontId="6" fillId="7" borderId="0" xfId="0" applyNumberFormat="1" applyFont="1" applyFill="1" applyBorder="1" applyAlignment="1">
      <x:alignment vertical="center" wrapText="1"/>
    </x:xf>
    <x:xf numFmtId="202" fontId="6" fillId="7" borderId="0" xfId="0" applyNumberFormat="1" applyFont="1" applyFill="1" applyBorder="1" applyAlignment="1">
      <x:alignment vertical="center" wrapText="1"/>
    </x:xf>
    <x:xf numFmtId="200" fontId="6" fillId="7" borderId="0" xfId="0" applyNumberFormat="1" applyFont="1" applyFill="1" applyBorder="1" applyAlignment="1">
      <x:alignment vertical="center" wrapText="1"/>
    </x:xf>
    <x:xf numFmtId="201" fontId="13" fillId="9" borderId="1" xfId="0" applyNumberFormat="1" applyFont="1" applyFill="1" applyBorder="1" applyAlignment="1">
      <x:alignment vertical="center" wrapText="1"/>
    </x:xf>
    <x:xf numFmtId="0" fontId="13" fillId="9" borderId="1" xfId="0" applyNumberFormat="1" applyFont="1" applyFill="1" applyBorder="1" applyAlignment="1">
      <x:alignment vertical="center" wrapText="1"/>
    </x:xf>
    <x:xf numFmtId="202" fontId="13" fillId="9" borderId="1" xfId="0" applyNumberFormat="1" applyFont="1" applyFill="1" applyBorder="1" applyAlignment="1">
      <x:alignment vertical="center" wrapText="1"/>
    </x:xf>
    <x:xf numFmtId="200" fontId="13" fillId="9" borderId="1" xfId="0" applyNumberFormat="1" applyFont="1" applyFill="1" applyBorder="1" applyAlignment="1">
      <x:alignment vertical="center" wrapText="1"/>
    </x:xf>
    <x:xf numFmtId="201" fontId="6" fillId="7" borderId="1" xfId="0" applyNumberFormat="1" applyFont="1" applyFill="1" applyBorder="1" applyAlignment="1">
      <x:alignment vertical="center" wrapText="1"/>
    </x:xf>
    <x:xf numFmtId="202" fontId="6" fillId="7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horizontal="center" vertical="center"/>
    </x:xf>
    <x:xf numFmtId="0" fontId="6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b499e34a8437f" /><Relationship Type="http://schemas.openxmlformats.org/officeDocument/2006/relationships/theme" Target="/xl/theme/theme1.xml" Id="R11039e9cbe66443e" /><Relationship Type="http://schemas.openxmlformats.org/officeDocument/2006/relationships/sharedStrings" Target="/xl/sharedStrings.xml" Id="Rc3ba27f32cdc4fb6" /><Relationship Type="http://schemas.openxmlformats.org/officeDocument/2006/relationships/worksheet" Target="/xl/worksheets/sheet1.xml" Id="R9b02e3b839f74946" /><Relationship Type="http://schemas.openxmlformats.org/officeDocument/2006/relationships/worksheet" Target="/xl/worksheets/sheet2.xml" Id="R2cfc0e3f551049d7" /><Relationship Type="http://schemas.openxmlformats.org/officeDocument/2006/relationships/worksheet" Target="/xl/worksheets/sheet3.xml" Id="Rd4f29afe41bd482f" /><Relationship Type="http://schemas.openxmlformats.org/officeDocument/2006/relationships/worksheet" Target="/xl/worksheets/sheet4.xml" Id="R1a9fcbb79a2f4eca" /><Relationship Type="http://schemas.openxmlformats.org/officeDocument/2006/relationships/worksheet" Target="/xl/worksheets/sheet5.xml" Id="R6f06fb70e5014695" /><Relationship Type="http://schemas.openxmlformats.org/officeDocument/2006/relationships/worksheet" Target="/xl/worksheets/sheet6.xml" Id="R52ea2368422b40ee" /><Relationship Type="http://schemas.openxmlformats.org/officeDocument/2006/relationships/worksheet" Target="/xl/worksheets/sheet7.xml" Id="R40c7b9752aa14a05" /><Relationship Type="http://schemas.openxmlformats.org/officeDocument/2006/relationships/worksheet" Target="/xl/worksheets/sheet8.xml" Id="R3d787cb8fd8544c1" /><Relationship Type="http://schemas.openxmlformats.org/officeDocument/2006/relationships/worksheet" Target="/xl/worksheets/sheet9.xml" Id="R1a9fc97ebaaa4c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商云宝客户管家台｜WPS 导入恢复字段模版</x:v>
      </x:c>
      <x:c r="B1" s="4"/>
      <x:c r="C1" s="4"/>
      <x:c r="D1" s="4"/>
      <x:c r="E1" s="4"/>
      <x:c r="F1" s="4"/>
      <x:c r="G1" s="4"/>
      <x:c r="H1" s="4"/>
    </x:row>
    <x:row r="2" ht="42" customHeight="1">
      <x:c r="A2" s="8" t="str">
        <x:v>版本 V1.0｜用于离线整理工单、跟进记录、知识库、已完成归档和日报备注字段；模板本身不会上传任何数据。</x:v>
      </x:c>
      <x:c r="B2" s="8"/>
      <x:c r="C2" s="8"/>
      <x:c r="D2" s="8"/>
      <x:c r="E2" s="8"/>
      <x:c r="F2" s="8"/>
      <x:c r="G2" s="8"/>
      <x:c r="H2" s="8"/>
    </x:row>
    <x:row r="4" ht="48" customHeight="1">
      <x:c r="A4" s="12" t="str">
        <x:v>重要：当前线上“导入恢复”按钮只接受 JSON 备份文件，不能直接上传本 .xlsx。此文件用于规范整理字段；若需一键从 WPS 恢复，还需要增加“WPS 转 JSON / Excel 导入”功能。</x:v>
      </x:c>
      <x:c r="B4" s="12"/>
      <x:c r="C4" s="12"/>
      <x:c r="D4" s="12"/>
      <x:c r="E4" s="12"/>
      <x:c r="F4" s="12"/>
      <x:c r="G4" s="12"/>
      <x:c r="H4" s="12"/>
    </x:row>
    <x:row r="6">
      <x:c r="A6" s="15" t="str">
        <x:v>填写步骤</x:v>
      </x:c>
      <x:c r="B6" s="15"/>
      <x:c r="C6" s="15"/>
      <x:c r="D6" s="15"/>
      <x:c r="E6" s="15"/>
      <x:c r="F6" s="15"/>
      <x:c r="G6" s="15"/>
      <x:c r="H6" s="15"/>
    </x:row>
    <x:row r="7" ht="30" customHeight="1">
      <x:c r="A7" s="24" t="str">
        <x:v>第 1 步</x:v>
      </x:c>
      <x:c r="B7" s="25" t="str">
        <x:v>先阅读“字段说明”，确认必填项、日期格式和枚举选项。</x:v>
      </x:c>
      <x:c r="C7" s="25"/>
      <x:c r="D7" s="25"/>
      <x:c r="E7" s="25"/>
      <x:c r="F7" s="25"/>
      <x:c r="G7" s="25"/>
      <x:c r="H7" s="25"/>
    </x:row>
    <x:row r="8" ht="30" customHeight="1">
      <x:c r="A8" s="24" t="str">
        <x:v>第 2 步</x:v>
      </x:c>
      <x:c r="B8" s="25" t="str">
        <x:v>在“工单”表录入主数据；工单 ID 必须唯一，并按文本保存。</x:v>
      </x:c>
      <x:c r="C8" s="25"/>
      <x:c r="D8" s="25"/>
      <x:c r="E8" s="25"/>
      <x:c r="F8" s="25"/>
      <x:c r="G8" s="25"/>
      <x:c r="H8" s="25"/>
    </x:row>
    <x:row r="9" ht="30" customHeight="1">
      <x:c r="A9" s="24" t="str">
        <x:v>第 3 步</x:v>
      </x:c>
      <x:c r="B9" s="25" t="str">
        <x:v>如有历史跟进，在“跟进记录”表用“所属工单 ID”关联对应工单。</x:v>
      </x:c>
      <x:c r="C9" s="25"/>
      <x:c r="D9" s="25"/>
      <x:c r="E9" s="25"/>
      <x:c r="F9" s="25"/>
      <x:c r="G9" s="25"/>
      <x:c r="H9" s="25"/>
    </x:row>
    <x:row r="10" ht="30" customHeight="1">
      <x:c r="A10" s="24" t="str">
        <x:v>第 4 步</x:v>
      </x:c>
      <x:c r="B10" s="25" t="str">
        <x:v>已完结工单可在“已完成归档”保留真实完结日期；知识库、日报备注按需填写。</x:v>
      </x:c>
      <x:c r="C10" s="25"/>
      <x:c r="D10" s="25"/>
      <x:c r="E10" s="25"/>
      <x:c r="F10" s="25"/>
      <x:c r="G10" s="25"/>
      <x:c r="H10" s="25"/>
    </x:row>
    <x:row r="11" ht="30" customHeight="1">
      <x:c r="A11" s="24" t="str">
        <x:v>第 5 步</x:v>
      </x:c>
      <x:c r="B11" s="25" t="str">
        <x:v>删除或替换橙色示例行；优先级、推进进度、记录类型请使用下拉选项。</x:v>
      </x:c>
      <x:c r="C11" s="25"/>
      <x:c r="D11" s="25"/>
      <x:c r="E11" s="25"/>
      <x:c r="F11" s="25"/>
      <x:c r="G11" s="25"/>
      <x:c r="H11" s="25"/>
    </x:row>
    <x:row r="12" ht="30" customHeight="1">
      <x:c r="A12" s="24" t="str">
        <x:v>第 6 步</x:v>
      </x:c>
      <x:c r="B12" s="25" t="str">
        <x:v>如需恢复到系统，请先将本表转换成系统要求的 JSON，再通过线上“导入恢复”执行。</x:v>
      </x:c>
      <x:c r="C12" s="25"/>
      <x:c r="D12" s="25"/>
      <x:c r="E12" s="25"/>
      <x:c r="F12" s="25"/>
      <x:c r="G12" s="25"/>
      <x:c r="H12" s="25"/>
    </x:row>
    <x:row r="14">
      <x:c r="A14" s="14" t="str">
        <x:v>关键关联关系</x:v>
      </x:c>
      <x:c r="B14" s="14"/>
      <x:c r="C14" s="14"/>
      <x:c r="D14" s="14"/>
      <x:c r="E14" s="14"/>
      <x:c r="F14" s="14"/>
      <x:c r="G14" s="14"/>
      <x:c r="H14" s="14"/>
    </x:row>
    <x:row r="15" ht="34" customHeight="1">
      <x:c r="A15" s="34" t="str">
        <x:v>工单.id</x:v>
      </x:c>
      <x:c r="B15" s="35" t="str">
        <x:v>→</x:v>
      </x:c>
      <x:c r="C15" s="34" t="str">
        <x:v>跟进记录.所属工单 ID</x:v>
      </x:c>
      <x:c r="D15" s="36" t="str">
        <x:v>将每条跟进嵌套进对应工单的 followUps[]</x:v>
      </x:c>
      <x:c r="E15" s="36" t="str"/>
      <x:c r="F15" s="36" t="str"/>
      <x:c r="G15" s="36" t="str"/>
      <x:c r="H15" s="36" t="str"/>
    </x:row>
    <x:row r="16" ht="34" customHeight="1">
      <x:c r="A16" s="34" t="str">
        <x:v>工单.id</x:v>
      </x:c>
      <x:c r="B16" s="35" t="str">
        <x:v>→</x:v>
      </x:c>
      <x:c r="C16" s="34" t="str">
        <x:v>已完成归档.sourceIssueId</x:v>
      </x:c>
      <x:c r="D16" s="36" t="str">
        <x:v>归档必须能追溯原工单；已完结状态必须精确写“已完结”</x:v>
      </x:c>
      <x:c r="E16" s="36" t="str"/>
      <x:c r="F16" s="36" t="str"/>
      <x:c r="G16" s="36" t="str"/>
      <x:c r="H16" s="36" t="str"/>
    </x:row>
    <x:row r="17" ht="34" customHeight="1">
      <x:c r="A17" s="34" t="str">
        <x:v>日报备注.日期</x:v>
      </x:c>
      <x:c r="B17" s="35" t="str">
        <x:v>→</x:v>
      </x:c>
      <x:c r="C17" s="34" t="str">
        <x:v>dailySupps 的对象键</x:v>
      </x:c>
      <x:c r="D17" s="36" t="str">
        <x:v>同一日期只能保留一条备注</x:v>
      </x:c>
      <x:c r="E17" s="36" t="str"/>
      <x:c r="F17" s="36" t="str"/>
      <x:c r="G17" s="36" t="str"/>
      <x:c r="H17" s="36" t="str"/>
    </x:row>
    <x:row r="18" ht="34" customHeight="1">
      <x:c r="A18" s="34" t="str">
        <x:v>账号权限</x:v>
      </x:c>
      <x:c r="B18" s="35" t="str">
        <x:v>≠</x:v>
      </x:c>
      <x:c r="C18" s="34" t="str">
        <x:v>备份文件字段</x:v>
      </x:c>
      <x:c r="D18" s="36" t="str">
        <x:v>管理员、全数据查看权限由云端账号设置，不能靠本模板恢复</x:v>
      </x:c>
      <x:c r="E18" s="36" t="str"/>
      <x:c r="F18" s="36" t="str"/>
      <x:c r="G18" s="36" t="str"/>
      <x:c r="H18" s="36" t="str"/>
    </x:row>
    <x:row r="20" ht="34" customHeight="1">
      <x:c r="A20" s="44" t="str">
        <x:v>颜色</x:v>
      </x:c>
      <x:c r="B20" s="44" t="str">
        <x:v>含义</x:v>
      </x:c>
      <x:c r="C20" s="44" t="str">
        <x:v>填写要求</x:v>
      </x:c>
      <x:c r="D20" s="44" t="str">
        <x:v>示例</x:v>
      </x:c>
    </x:row>
    <x:row r="21" ht="28" customHeight="1">
      <x:c r="A21" s="45" t="str">
        <x:v>橙色行</x:v>
      </x:c>
      <x:c r="B21" s="46" t="str">
        <x:v>示例数据</x:v>
      </x:c>
      <x:c r="C21" s="46" t="str">
        <x:v>正式填写时替换或删除</x:v>
      </x:c>
      <x:c r="D21" s="46" t="str">
        <x:v>ISS-0001</x:v>
      </x:c>
    </x:row>
    <x:row r="22" ht="28" customHeight="1">
      <x:c r="A22" s="45" t="str">
        <x:v>带 * 表头</x:v>
      </x:c>
      <x:c r="B22" s="46" t="str">
        <x:v>必填字段</x:v>
      </x:c>
      <x:c r="C22" s="46" t="str">
        <x:v>不能留空</x:v>
      </x:c>
      <x:c r="D22" s="46" t="str">
        <x:v>门店名称 *</x:v>
      </x:c>
    </x:row>
    <x:row r="23" ht="28" customHeight="1">
      <x:c r="A23" s="45" t="str">
        <x:v>系统生成/选填</x:v>
      </x:c>
      <x:c r="B23" s="46" t="str">
        <x:v>可留空字段</x:v>
      </x:c>
      <x:c r="C23" s="46" t="str">
        <x:v>转换时可自动生成或忽略</x:v>
      </x:c>
      <x:c r="D23" s="46" t="str">
        <x:v>最后更新时间</x:v>
      </x:c>
    </x:row>
    <x:row r="24" ht="28" customHeight="1">
      <x:c r="A24" s="45" t="str">
        <x:v>填写检查</x:v>
      </x:c>
      <x:c r="B24" s="46" t="str">
        <x:v>行级检查结果</x:v>
      </x:c>
      <x:c r="C24" s="46" t="str">
        <x:v>显示“可用”后再转换</x:v>
      </x:c>
      <x:c r="D24" s="46" t="str">
        <x:v>可用</x:v>
      </x:c>
    </x:row>
  </x:sheetData>
  <x:mergeCells>
    <x:mergeCell ref="A1:H1"/>
    <x:mergeCell ref="A2:H2"/>
    <x:mergeCell ref="A4:H4"/>
    <x:mergeCell ref="A6:H6"/>
    <x:mergeCell ref="B7:H7"/>
    <x:mergeCell ref="B8:H8"/>
    <x:mergeCell ref="B9:H9"/>
    <x:mergeCell ref="B10:H10"/>
    <x:mergeCell ref="B11:H11"/>
    <x:mergeCell ref="B12:H12"/>
    <x:mergeCell ref="A14:H14"/>
    <x:mergeCell ref="D15:H15"/>
    <x:mergeCell ref="D16:H16"/>
    <x:mergeCell ref="D17:H17"/>
    <x:mergeCell ref="D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0" hidden="0" customWidth="1"/>
    <x:col min="5" max="5" width="34" hidden="0" customWidth="1"/>
    <x:col min="6" max="6" width="29" hidden="0" customWidth="1"/>
    <x:col min="7" max="7" width="43" hidden="0" customWidth="1"/>
  </x:cols>
  <x:sheetData>
    <x:row r="1" ht="34" customHeight="1">
      <x:c r="A1" s="4" t="str">
        <x:v>字段说明与 JSON 对照</x:v>
      </x:c>
      <x:c r="B1" s="4"/>
      <x:c r="C1" s="4"/>
      <x:c r="D1" s="4"/>
      <x:c r="E1" s="4"/>
      <x:c r="F1" s="4"/>
      <x:c r="G1" s="4"/>
    </x:row>
    <x:row r="2" ht="42" customHeight="1">
      <x:c r="A2" s="8" t="str">
        <x:v>必填口径按当前工作台数据结构整理；请严格使用列出的字段名、枚举值和日期格式。符号“→”后的内容是导出 JSON 中的键名。 </x:v>
      </x:c>
      <x:c r="B2" s="8"/>
      <x:c r="C2" s="8"/>
      <x:c r="D2" s="8"/>
      <x:c r="E2" s="8"/>
      <x:c r="F2" s="8"/>
      <x:c r="G2" s="8"/>
    </x:row>
    <x:row r="4" ht="34" customHeight="1">
      <x:c r="A4" s="44" t="str">
        <x:v>模块</x:v>
      </x:c>
      <x:c r="B4" s="44" t="str">
        <x:v>中文字段</x:v>
      </x:c>
      <x:c r="C4" s="44" t="str">
        <x:v>JSON 键名</x:v>
      </x:c>
      <x:c r="D4" s="44" t="str">
        <x:v>必填</x:v>
      </x:c>
      <x:c r="E4" s="44" t="str">
        <x:v>格式 / 枚举</x:v>
      </x:c>
      <x:c r="F4" s="44" t="str">
        <x:v>示例</x:v>
      </x:c>
      <x:c r="G4" s="44" t="str">
        <x:v>说明</x:v>
      </x:c>
    </x:row>
    <x:row r="5" ht="34" customHeight="1">
      <x:c r="A5" s="58" t="str">
        <x:v>工单</x:v>
      </x:c>
      <x:c r="B5" s="59" t="str">
        <x:v>工单 ID</x:v>
      </x:c>
      <x:c r="C5" s="59" t="str">
        <x:v>id</x:v>
      </x:c>
      <x:c r="D5" s="60" t="str">
        <x:v>是</x:v>
      </x:c>
      <x:c r="E5" s="59" t="str">
        <x:v>文本；全表唯一</x:v>
      </x:c>
      <x:c r="F5" s="59" t="str">
        <x:v>ISS-0001</x:v>
      </x:c>
      <x:c r="G5" s="59" t="str">
        <x:v>用于编辑、合并和关联跟进；不要用纯长数字。</x:v>
      </x:c>
    </x:row>
    <x:row r="6" ht="34" customHeight="1">
      <x:c r="A6" s="58" t="str">
        <x:v>工单</x:v>
      </x:c>
      <x:c r="B6" s="59" t="str">
        <x:v>门店名称</x:v>
      </x:c>
      <x:c r="C6" s="59" t="str">
        <x:v>shopName</x:v>
      </x:c>
      <x:c r="D6" s="60" t="str">
        <x:v>是</x:v>
      </x:c>
      <x:c r="E6" s="59" t="str">
        <x:v>文本</x:v>
      </x:c>
      <x:c r="F6" s="59" t="str">
        <x:v>华东区-杭州西湖店</x:v>
      </x:c>
      <x:c r="G6" s="59" t="str">
        <x:v>门店全称或可唯一识别的名称。</x:v>
      </x:c>
    </x:row>
    <x:row r="7" ht="34" customHeight="1">
      <x:c r="A7" s="58" t="str">
        <x:v>工单</x:v>
      </x:c>
      <x:c r="B7" s="59" t="str">
        <x:v>门店问题</x:v>
      </x:c>
      <x:c r="C7" s="59" t="str">
        <x:v>shopDesc</x:v>
      </x:c>
      <x:c r="D7" s="60" t="str">
        <x:v>否</x:v>
      </x:c>
      <x:c r="E7" s="59" t="str">
        <x:v>文本</x:v>
      </x:c>
      <x:c r="F7" s="59" t="str">
        <x:v>POS 收银系统无法结账</x:v>
      </x:c>
      <x:c r="G7" s="59" t="str">
        <x:v>问题现象、影响范围和已知条件。</x:v>
      </x:c>
    </x:row>
    <x:row r="8" ht="34" customHeight="1">
      <x:c r="A8" s="58" t="str">
        <x:v>工单</x:v>
      </x:c>
      <x:c r="B8" s="59" t="str">
        <x:v>优先级</x:v>
      </x:c>
      <x:c r="C8" s="59" t="str">
        <x:v>priority</x:v>
      </x:c>
      <x:c r="D8" s="60" t="str">
        <x:v>是</x:v>
      </x:c>
      <x:c r="E8" s="59" t="str">
        <x:v>P0 / P1 / P2</x:v>
      </x:c>
      <x:c r="F8" s="59" t="str">
        <x:v>P0</x:v>
      </x:c>
      <x:c r="G8" s="59" t="str">
        <x:v>只能使用三个枚举值。</x:v>
      </x:c>
    </x:row>
    <x:row r="9" ht="34" customHeight="1">
      <x:c r="A9" s="58" t="str">
        <x:v>工单</x:v>
      </x:c>
      <x:c r="B9" s="59" t="str">
        <x:v>截止日期</x:v>
      </x:c>
      <x:c r="C9" s="59" t="str">
        <x:v>deadline</x:v>
      </x:c>
      <x:c r="D9" s="60" t="str">
        <x:v>否</x:v>
      </x:c>
      <x:c r="E9" s="59" t="str">
        <x:v>YYYY-MM-DD</x:v>
      </x:c>
      <x:c r="F9" s="59" t="str">
        <x:v>2026-08-10</x:v>
      </x:c>
      <x:c r="G9" s="59" t="str">
        <x:v>建议填真实日期。</x:v>
      </x:c>
    </x:row>
    <x:row r="10" ht="34" customHeight="1">
      <x:c r="A10" s="58" t="str">
        <x:v>工单</x:v>
      </x:c>
      <x:c r="B10" s="59" t="str">
        <x:v>推进进度</x:v>
      </x:c>
      <x:c r="C10" s="59" t="str">
        <x:v>progress</x:v>
      </x:c>
      <x:c r="D10" s="60" t="str">
        <x:v>是</x:v>
      </x:c>
      <x:c r="E10" s="59" t="str">
        <x:v>未开始 / 跟进中 / 阶段性完成 / 已完结</x:v>
      </x:c>
      <x:c r="F10" s="59" t="str">
        <x:v>跟进中</x:v>
      </x:c>
      <x:c r="G10" s="59" t="str">
        <x:v>完成态必须精确写“已完结”。</x:v>
      </x:c>
    </x:row>
    <x:row r="11" ht="34" customHeight="1">
      <x:c r="A11" s="58" t="str">
        <x:v>工单</x:v>
      </x:c>
      <x:c r="B11" s="59" t="str">
        <x:v>创建日期</x:v>
      </x:c>
      <x:c r="C11" s="59" t="str">
        <x:v>createdAt</x:v>
      </x:c>
      <x:c r="D11" s="60" t="str">
        <x:v>建议</x:v>
      </x:c>
      <x:c r="E11" s="59" t="str">
        <x:v>YYYY-MM-DD</x:v>
      </x:c>
      <x:c r="F11" s="59" t="str">
        <x:v>2026-08-07</x:v>
      </x:c>
      <x:c r="G11" s="59" t="str">
        <x:v>缺失时会影响时间统计。</x:v>
      </x:c>
    </x:row>
    <x:row r="12" ht="34" customHeight="1">
      <x:c r="A12" s="58" t="str">
        <x:v>工单</x:v>
      </x:c>
      <x:c r="B12" s="59" t="str">
        <x:v>最后更新时间</x:v>
      </x:c>
      <x:c r="C12" s="59" t="str">
        <x:v>updatedAt</x:v>
      </x:c>
      <x:c r="D12" s="60" t="str">
        <x:v>否</x:v>
      </x:c>
      <x:c r="E12" s="59" t="str">
        <x:v>ISO 8601 文本</x:v>
      </x:c>
      <x:c r="F12" s="61" t="n">
        <x:f>"2026-08-07T01:30:00.000Z"</x:f>
        <x:v>46241.0625</x:v>
      </x:c>
      <x:c r="G12" s="59" t="str">
        <x:v>可由转换程序生成。</x:v>
      </x:c>
    </x:row>
    <x:row r="13" ht="34" customHeight="1">
      <x:c r="A13" s="58" t="str">
        <x:v>跟进记录</x:v>
      </x:c>
      <x:c r="B13" s="59" t="str">
        <x:v>跟进 ID</x:v>
      </x:c>
      <x:c r="C13" s="59" t="str">
        <x:v>id</x:v>
      </x:c>
      <x:c r="D13" s="60" t="str">
        <x:v>是</x:v>
      </x:c>
      <x:c r="E13" s="59" t="str">
        <x:v>文本；建议全表唯一</x:v>
      </x:c>
      <x:c r="F13" s="59" t="str">
        <x:v>FU-0001</x:v>
      </x:c>
      <x:c r="G13" s="59" t="str">
        <x:v>同一工单内不能重复。</x:v>
      </x:c>
    </x:row>
    <x:row r="14" ht="34" customHeight="1">
      <x:c r="A14" s="58" t="str">
        <x:v>跟进记录</x:v>
      </x:c>
      <x:c r="B14" s="59" t="str">
        <x:v>所属工单 ID</x:v>
      </x:c>
      <x:c r="C14" s="59" t="str">
        <x:v>关联键</x:v>
      </x:c>
      <x:c r="D14" s="60" t="str">
        <x:v>是</x:v>
      </x:c>
      <x:c r="E14" s="59" t="str">
        <x:v>必须匹配工单.id</x:v>
      </x:c>
      <x:c r="F14" s="59" t="str">
        <x:v>ISS-0001</x:v>
      </x:c>
      <x:c r="G14" s="59" t="str">
        <x:v>转换时用于分组，最终不保留为额外 JSON 字段。</x:v>
      </x:c>
    </x:row>
    <x:row r="15" ht="34" customHeight="1">
      <x:c r="A15" s="58" t="str">
        <x:v>跟进记录</x:v>
      </x:c>
      <x:c r="B15" s="59" t="str">
        <x:v>记录类型</x:v>
      </x:c>
      <x:c r="C15" s="59" t="str">
        <x:v>type</x:v>
      </x:c>
      <x:c r="D15" s="60" t="str">
        <x:v>是</x:v>
      </x:c>
      <x:c r="E15" s="59" t="str">
        <x:v>created / status_change / follow_up</x:v>
      </x:c>
      <x:c r="F15" s="59" t="str">
        <x:v>follow_up</x:v>
      </x:c>
      <x:c r="G15" s="59" t="str">
        <x:v>新建、状态变更或普通跟进。</x:v>
      </x:c>
    </x:row>
    <x:row r="16" ht="34" customHeight="1">
      <x:c r="A16" s="58" t="str">
        <x:v>跟进记录</x:v>
      </x:c>
      <x:c r="B16" s="59" t="str">
        <x:v>跟进内容</x:v>
      </x:c>
      <x:c r="C16" s="59" t="str">
        <x:v>content</x:v>
      </x:c>
      <x:c r="D16" s="60" t="str">
        <x:v>是</x:v>
      </x:c>
      <x:c r="E16" s="59" t="str">
        <x:v>文本</x:v>
      </x:c>
      <x:c r="F16" s="59" t="str">
        <x:v>已联系门店，技术正在排查</x:v>
      </x:c>
      <x:c r="G16" s="59" t="str">
        <x:v>必须是字符串。</x:v>
      </x:c>
    </x:row>
    <x:row r="17" ht="34" customHeight="1">
      <x:c r="A17" s="58" t="str">
        <x:v>跟进记录</x:v>
      </x:c>
      <x:c r="B17" s="59" t="str">
        <x:v>原状态</x:v>
      </x:c>
      <x:c r="C17" s="59" t="str">
        <x:v>fromProgress</x:v>
      </x:c>
      <x:c r="D17" s="60" t="str">
        <x:v>否</x:v>
      </x:c>
      <x:c r="E17" s="59" t="str">
        <x:v>推进进度枚举或空</x:v>
      </x:c>
      <x:c r="F17" s="59" t="str">
        <x:v>未开始</x:v>
      </x:c>
      <x:c r="G17" s="59" t="str">
        <x:v>状态变更前的状态。</x:v>
      </x:c>
    </x:row>
    <x:row r="18" ht="34" customHeight="1">
      <x:c r="A18" s="58" t="str">
        <x:v>跟进记录</x:v>
      </x:c>
      <x:c r="B18" s="59" t="str">
        <x:v>新状态</x:v>
      </x:c>
      <x:c r="C18" s="59" t="str">
        <x:v>toProgress</x:v>
      </x:c>
      <x:c r="D18" s="60" t="str">
        <x:v>否</x:v>
      </x:c>
      <x:c r="E18" s="59" t="str">
        <x:v>推进进度枚举或空</x:v>
      </x:c>
      <x:c r="F18" s="59" t="str">
        <x:v>跟进中</x:v>
      </x:c>
      <x:c r="G18" s="59" t="str">
        <x:v>状态变更后的状态。</x:v>
      </x:c>
    </x:row>
    <x:row r="19" ht="34" customHeight="1">
      <x:c r="A19" s="58" t="str">
        <x:v>跟进记录</x:v>
      </x:c>
      <x:c r="B19" s="59" t="str">
        <x:v>操作人 ID</x:v>
      </x:c>
      <x:c r="C19" s="59" t="str">
        <x:v>authorId</x:v>
      </x:c>
      <x:c r="D19" s="60" t="str">
        <x:v>否</x:v>
      </x:c>
      <x:c r="E19" s="59" t="str">
        <x:v>文本</x:v>
      </x:c>
      <x:c r="F19" s="59" t="str">
        <x:v>USER-001</x:v>
      </x:c>
      <x:c r="G19" s="59" t="str">
        <x:v>可留空。</x:v>
      </x:c>
    </x:row>
    <x:row r="20" ht="34" customHeight="1">
      <x:c r="A20" s="58" t="str">
        <x:v>跟进记录</x:v>
      </x:c>
      <x:c r="B20" s="59" t="str">
        <x:v>操作人姓名</x:v>
      </x:c>
      <x:c r="C20" s="59" t="str">
        <x:v>authorName</x:v>
      </x:c>
      <x:c r="D20" s="60" t="str">
        <x:v>建议</x:v>
      </x:c>
      <x:c r="E20" s="59" t="str">
        <x:v>文本</x:v>
      </x:c>
      <x:c r="F20" s="59" t="str">
        <x:v>冯经理</x:v>
      </x:c>
      <x:c r="G20" s="59" t="str">
        <x:v>便于历史追溯。</x:v>
      </x:c>
    </x:row>
    <x:row r="21" ht="34" customHeight="1">
      <x:c r="A21" s="58" t="str">
        <x:v>跟进记录</x:v>
      </x:c>
      <x:c r="B21" s="59" t="str">
        <x:v>记录时间</x:v>
      </x:c>
      <x:c r="C21" s="59" t="str">
        <x:v>createdAt</x:v>
      </x:c>
      <x:c r="D21" s="60" t="str">
        <x:v>建议</x:v>
      </x:c>
      <x:c r="E21" s="59" t="str">
        <x:v>ISO 8601 文本</x:v>
      </x:c>
      <x:c r="F21" s="61" t="n">
        <x:f>"2026-08-07T01:30:00.000Z"</x:f>
        <x:v>46241.0625</x:v>
      </x:c>
      <x:c r="G21" s="59" t="str">
        <x:v>用于历史记录排序。</x:v>
      </x:c>
    </x:row>
    <x:row r="22" ht="34" customHeight="1">
      <x:c r="A22" s="58" t="str">
        <x:v>知识库</x:v>
      </x:c>
      <x:c r="B22" s="59" t="str">
        <x:v>知识 ID</x:v>
      </x:c>
      <x:c r="C22" s="59" t="str">
        <x:v>id</x:v>
      </x:c>
      <x:c r="D22" s="60" t="str">
        <x:v>是</x:v>
      </x:c>
      <x:c r="E22" s="59" t="str">
        <x:v>文本；全表唯一</x:v>
      </x:c>
      <x:c r="F22" s="59" t="str">
        <x:v>KW-0001</x:v>
      </x:c>
      <x:c r="G22" s="59" t="str">
        <x:v>知识条目唯一标识。</x:v>
      </x:c>
    </x:row>
    <x:row r="23" ht="34" customHeight="1">
      <x:c r="A23" s="58" t="str">
        <x:v>知识库</x:v>
      </x:c>
      <x:c r="B23" s="59" t="str">
        <x:v>知识域</x:v>
      </x:c>
      <x:c r="C23" s="59" t="str">
        <x:v>domain</x:v>
      </x:c>
      <x:c r="D23" s="60" t="str">
        <x:v>否</x:v>
      </x:c>
      <x:c r="E23" s="59" t="str">
        <x:v>文本</x:v>
      </x:c>
      <x:c r="F23" s="59" t="str">
        <x:v>财务与分账</x:v>
      </x:c>
      <x:c r="G23" s="59" t="str">
        <x:v>用于分类筛选。</x:v>
      </x:c>
    </x:row>
    <x:row r="24" ht="34" customHeight="1">
      <x:c r="A24" s="58" t="str">
        <x:v>知识库</x:v>
      </x:c>
      <x:c r="B24" s="59" t="str">
        <x:v>编码</x:v>
      </x:c>
      <x:c r="C24" s="59" t="str">
        <x:v>code</x:v>
      </x:c>
      <x:c r="D24" s="60" t="str">
        <x:v>否</x:v>
      </x:c>
      <x:c r="E24" s="59" t="str">
        <x:v>文本</x:v>
      </x:c>
      <x:c r="F24" s="59" t="str">
        <x:v>B107-B119</x:v>
      </x:c>
      <x:c r="G24" s="59" t="str">
        <x:v>业务规则或错误编码。</x:v>
      </x:c>
    </x:row>
    <x:row r="25" ht="34" customHeight="1">
      <x:c r="A25" s="58" t="str">
        <x:v>知识库</x:v>
      </x:c>
      <x:c r="B25" s="59" t="str">
        <x:v>标题</x:v>
      </x:c>
      <x:c r="C25" s="59" t="str">
        <x:v>title</x:v>
      </x:c>
      <x:c r="D25" s="60" t="str">
        <x:v>是</x:v>
      </x:c>
      <x:c r="E25" s="59" t="str">
        <x:v>文本</x:v>
      </x:c>
      <x:c r="F25" s="59" t="str">
        <x:v>营业额计算公式</x:v>
      </x:c>
      <x:c r="G25" s="59" t="str">
        <x:v>知识标题。</x:v>
      </x:c>
    </x:row>
    <x:row r="26" ht="34" customHeight="1">
      <x:c r="A26" s="58" t="str">
        <x:v>知识库</x:v>
      </x:c>
      <x:c r="B26" s="59" t="str">
        <x:v>内容</x:v>
      </x:c>
      <x:c r="C26" s="59" t="str">
        <x:v>content</x:v>
      </x:c>
      <x:c r="D26" s="60" t="str">
        <x:v>否</x:v>
      </x:c>
      <x:c r="E26" s="59" t="str">
        <x:v>文本</x:v>
      </x:c>
      <x:c r="F26" s="59" t="str">
        <x:v>营业额=商品销售总额-退款金额</x:v>
      </x:c>
      <x:c r="G26" s="59" t="str">
        <x:v>详细说明。</x:v>
      </x:c>
    </x:row>
    <x:row r="27" ht="34" customHeight="1">
      <x:c r="A27" s="58" t="str">
        <x:v>已完成归档</x:v>
      </x:c>
      <x:c r="B27" s="59" t="str">
        <x:v>归档 ID</x:v>
      </x:c>
      <x:c r="C27" s="59" t="str">
        <x:v>id</x:v>
      </x:c>
      <x:c r="D27" s="60" t="str">
        <x:v>是</x:v>
      </x:c>
      <x:c r="E27" s="59" t="str">
        <x:v>文本；全表唯一</x:v>
      </x:c>
      <x:c r="F27" s="59" t="str">
        <x:v>ARC-0001</x:v>
      </x:c>
      <x:c r="G27" s="59" t="str">
        <x:v>归档记录唯一标识。</x:v>
      </x:c>
    </x:row>
    <x:row r="28" ht="34" customHeight="1">
      <x:c r="A28" s="58" t="str">
        <x:v>已完成归档</x:v>
      </x:c>
      <x:c r="B28" s="59" t="str">
        <x:v>来源工单 ID</x:v>
      </x:c>
      <x:c r="C28" s="59" t="str">
        <x:v>sourceIssueId</x:v>
      </x:c>
      <x:c r="D28" s="60" t="str">
        <x:v>建议</x:v>
      </x:c>
      <x:c r="E28" s="59" t="str">
        <x:v>必须匹配工单.id</x:v>
      </x:c>
      <x:c r="F28" s="59" t="str">
        <x:v>ISS-0001</x:v>
      </x:c>
      <x:c r="G28" s="59" t="str">
        <x:v>用于追溯原工单和复制跟进快照。</x:v>
      </x:c>
    </x:row>
    <x:row r="29" ht="34" customHeight="1">
      <x:c r="A29" s="58" t="str">
        <x:v>已完成归档</x:v>
      </x:c>
      <x:c r="B29" s="59" t="str">
        <x:v>门店名称</x:v>
      </x:c>
      <x:c r="C29" s="59" t="str">
        <x:v>shopName</x:v>
      </x:c>
      <x:c r="D29" s="60" t="str">
        <x:v>是</x:v>
      </x:c>
      <x:c r="E29" s="59" t="str">
        <x:v>文本</x:v>
      </x:c>
      <x:c r="F29" s="59" t="str">
        <x:v>华东区-杭州西湖店</x:v>
      </x:c>
      <x:c r="G29" s="59" t="str">
        <x:v>归档快照字段。</x:v>
      </x:c>
    </x:row>
    <x:row r="30" ht="34" customHeight="1">
      <x:c r="A30" s="58" t="str">
        <x:v>已完成归档</x:v>
      </x:c>
      <x:c r="B30" s="59" t="str">
        <x:v>门店问题</x:v>
      </x:c>
      <x:c r="C30" s="59" t="str">
        <x:v>shopDesc</x:v>
      </x:c>
      <x:c r="D30" s="60" t="str">
        <x:v>否</x:v>
      </x:c>
      <x:c r="E30" s="59" t="str">
        <x:v>文本</x:v>
      </x:c>
      <x:c r="F30" s="59" t="str">
        <x:v>POS 收银系统无法结账</x:v>
      </x:c>
      <x:c r="G30" s="59" t="str">
        <x:v>归档快照字段。</x:v>
      </x:c>
    </x:row>
    <x:row r="31" ht="34" customHeight="1">
      <x:c r="A31" s="58" t="str">
        <x:v>已完成归档</x:v>
      </x:c>
      <x:c r="B31" s="59" t="str">
        <x:v>优先级</x:v>
      </x:c>
      <x:c r="C31" s="59" t="str">
        <x:v>priority</x:v>
      </x:c>
      <x:c r="D31" s="60" t="str">
        <x:v>是</x:v>
      </x:c>
      <x:c r="E31" s="59" t="str">
        <x:v>P0 / P1 / P2</x:v>
      </x:c>
      <x:c r="F31" s="59" t="str">
        <x:v>P0</x:v>
      </x:c>
      <x:c r="G31" s="59" t="str">
        <x:v>归档快照字段。</x:v>
      </x:c>
    </x:row>
    <x:row r="32" ht="34" customHeight="1">
      <x:c r="A32" s="58" t="str">
        <x:v>已完成归档</x:v>
      </x:c>
      <x:c r="B32" s="59" t="str">
        <x:v>完结日期</x:v>
      </x:c>
      <x:c r="C32" s="59" t="str">
        <x:v>completedAt</x:v>
      </x:c>
      <x:c r="D32" s="60" t="str">
        <x:v>是</x:v>
      </x:c>
      <x:c r="E32" s="59" t="str">
        <x:v>YYYY-MM-DD</x:v>
      </x:c>
      <x:c r="F32" s="59" t="str">
        <x:v>2026-08-07</x:v>
      </x:c>
      <x:c r="G32" s="59" t="str">
        <x:v>用于日报和完成统计。</x:v>
      </x:c>
    </x:row>
    <x:row r="33" ht="34" customHeight="1">
      <x:c r="A33" s="58" t="str">
        <x:v>已完成归档</x:v>
      </x:c>
      <x:c r="B33" s="59" t="str">
        <x:v>原工单创建日期</x:v>
      </x:c>
      <x:c r="C33" s="59" t="str">
        <x:v>createdAt</x:v>
      </x:c>
      <x:c r="D33" s="60" t="str">
        <x:v>否</x:v>
      </x:c>
      <x:c r="E33" s="59" t="str">
        <x:v>YYYY-MM-DD</x:v>
      </x:c>
      <x:c r="F33" s="59" t="str">
        <x:v>2026-08-01</x:v>
      </x:c>
      <x:c r="G33" s="59" t="str">
        <x:v>归档快照字段。</x:v>
      </x:c>
    </x:row>
    <x:row r="34" ht="34" customHeight="1">
      <x:c r="A34" s="58" t="str">
        <x:v>日报备注</x:v>
      </x:c>
      <x:c r="B34" s="59" t="str">
        <x:v>日期</x:v>
      </x:c>
      <x:c r="C34" s="59" t="str">
        <x:v>dailySupps 的键</x:v>
      </x:c>
      <x:c r="D34" s="60" t="str">
        <x:v>是</x:v>
      </x:c>
      <x:c r="E34" s="59" t="str">
        <x:v>YYYY-MM-DD；日期唯一</x:v>
      </x:c>
      <x:c r="F34" s="59" t="str">
        <x:v>2026-08-07</x:v>
      </x:c>
      <x:c r="G34" s="59" t="str">
        <x:v>转换为 dailySupps:{"日期":"备注"}。</x:v>
      </x:c>
    </x:row>
    <x:row r="35" ht="34" customHeight="1">
      <x:c r="A35" s="58" t="str">
        <x:v>日报备注</x:v>
      </x:c>
      <x:c r="B35" s="59" t="str">
        <x:v>日报备注</x:v>
      </x:c>
      <x:c r="C35" s="59" t="str">
        <x:v>dailySupps 的值</x:v>
      </x:c>
      <x:c r="D35" s="60" t="str">
        <x:v>建议</x:v>
      </x:c>
      <x:c r="E35" s="59" t="str">
        <x:v>文本</x:v>
      </x:c>
      <x:c r="F35" s="59" t="str">
        <x:v>今日完成门店远程排查</x:v>
      </x:c>
      <x:c r="G35" s="59" t="str">
        <x:v>同一日期只保留一条。</x:v>
      </x:c>
    </x:row>
    <x:row r="36" ht="34" customHeight="1">
      <x:c r="A36" s="58" t="str">
        <x:v>备份信息</x:v>
      </x:c>
      <x:c r="B36" s="59" t="str">
        <x:v>姓名 / 部门 / 角色</x:v>
      </x:c>
      <x:c r="C36" s="59" t="str">
        <x:v>user</x:v>
      </x:c>
      <x:c r="D36" s="60" t="str">
        <x:v>否</x:v>
      </x:c>
      <x:c r="E36" s="59" t="str">
        <x:v>仅记录</x:v>
      </x:c>
      <x:c r="F36" s="59" t="str">
        <x:v>Mr.冯 / 大客户服务部 / admin</x:v>
      </x:c>
      <x:c r="G36" s="59" t="str">
        <x:v>当前恢复会忽略，不改变登录账号或权限。</x:v>
      </x:c>
    </x:row>
    <x:row r="37" ht="34" customHeight="1">
      <x:c r="A37" s="58" t="str">
        <x:v>备份信息</x:v>
      </x:c>
      <x:c r="B37" s="59" t="str">
        <x:v>导出日期</x:v>
      </x:c>
      <x:c r="C37" s="59" t="str">
        <x:v>exportedAt</x:v>
      </x:c>
      <x:c r="D37" s="60" t="str">
        <x:v>否</x:v>
      </x:c>
      <x:c r="E37" s="59" t="str">
        <x:v>YYYY-MM-DD</x:v>
      </x:c>
      <x:c r="F37" s="59" t="str">
        <x:v>2026-08-07</x:v>
      </x:c>
      <x:c r="G37" s="59" t="str">
        <x:v>当前恢复会忽略。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42" hidden="0" customWidth="1"/>
    <x:col min="4" max="4" width="15" hidden="0" customWidth="1"/>
    <x:col min="5" max="5" width="18" hidden="0" customWidth="1"/>
    <x:col min="6" max="6" width="19" hidden="0" customWidth="1"/>
    <x:col min="7" max="7" width="18" hidden="0" customWidth="1"/>
    <x:col min="8" max="8" width="30" hidden="0" customWidth="1"/>
    <x:col min="9" max="9" width="17" hidden="0" customWidth="1"/>
  </x:cols>
  <x:sheetData>
    <x:row r="1" ht="34" customHeight="1">
      <x:c r="A1" s="4" t="str">
        <x:v>工单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8" t="str">
        <x:v>每行一张工单。橙色第 5 行为示例，请替换或删除；带 * 的字段必须填写。工单 ID 必须唯一。 </x:v>
      </x:c>
      <x:c r="B2" s="8"/>
      <x:c r="C2" s="8"/>
      <x:c r="D2" s="8"/>
      <x:c r="E2" s="8"/>
      <x:c r="F2" s="8"/>
      <x:c r="G2" s="8"/>
      <x:c r="H2" s="8"/>
      <x:c r="I2" s="8"/>
    </x:row>
    <x:row r="3" ht="34" customHeight="1">
      <x:c r="A3" s="66" t="str">
        <x:v>填写提示：日期使用 yyyy-mm-dd；ID 列按文本保存；优先级和推进进度请使用下拉选项。</x:v>
      </x:c>
      <x:c r="B3" s="66"/>
      <x:c r="C3" s="66"/>
      <x:c r="D3" s="66"/>
      <x:c r="E3" s="66"/>
      <x:c r="F3" s="66"/>
      <x:c r="G3" s="66"/>
      <x:c r="H3" s="66"/>
      <x:c r="I3" s="66"/>
    </x:row>
    <x:row r="4" ht="28" customHeight="1">
      <x:c r="A4" s="44" t="str">
        <x:v>工单 ID（id）*</x:v>
      </x:c>
      <x:c r="B4" s="44" t="str">
        <x:v>门店名称（shopName）*</x:v>
      </x:c>
      <x:c r="C4" s="44" t="str">
        <x:v>门店问题（shopDesc）</x:v>
      </x:c>
      <x:c r="D4" s="44" t="str">
        <x:v>优先级（priority）*</x:v>
      </x:c>
      <x:c r="E4" s="44" t="str">
        <x:v>截止日期（deadline）</x:v>
      </x:c>
      <x:c r="F4" s="44" t="str">
        <x:v>推进进度（progress）*</x:v>
      </x:c>
      <x:c r="G4" s="44" t="str">
        <x:v>创建日期（createdAt）</x:v>
      </x:c>
      <x:c r="H4" s="44" t="str">
        <x:v>最后更新时间（updatedAt）</x:v>
      </x:c>
      <x:c r="I4" s="44" t="str">
        <x:v>填写检查</x:v>
      </x:c>
    </x:row>
    <x:row r="5" ht="28" customHeight="1">
      <x:c r="A5" s="94" t="str">
        <x:v>ISS-0001</x:v>
      </x:c>
      <x:c r="B5" s="95" t="str">
        <x:v>华东区-杭州西湖店</x:v>
      </x:c>
      <x:c r="C5" s="95" t="str">
        <x:v>POS 收银系统无法结账</x:v>
      </x:c>
      <x:c r="D5" s="95" t="str">
        <x:v>P0</x:v>
      </x:c>
      <x:c r="E5" s="96" t="n">
        <x:v>46244</x:v>
      </x:c>
      <x:c r="F5" s="95" t="str">
        <x:v>跟进中</x:v>
      </x:c>
      <x:c r="G5" s="96" t="n">
        <x:v>46241</x:v>
      </x:c>
      <x:c r="H5" s="97" t="n">
        <x:f>"2026-08-07T01:30:00.000Z"</x:f>
        <x:v>46241.0625</x:v>
      </x:c>
      <x:c r="I5" s="95" t="str">
        <x:f>IF(COUNTA(A5:H5)=0,"",IF(A5="","缺少工单ID",IF(COUNTIF($A$5:$A$104,A5)&gt;1,"工单ID重复",IF(B5="","缺少门店名称",IF(D5="","缺少优先级",IF(F5="","缺少推进进度","可用"))))))</x:f>
        <x:v>可用</x:v>
      </x:c>
    </x:row>
    <x:row r="6" ht="28" customHeight="1">
      <x:c r="A6" s="98"/>
      <x:c r="B6" s="25"/>
      <x:c r="C6" s="25"/>
      <x:c r="D6" s="25"/>
      <x:c r="E6" s="99"/>
      <x:c r="F6" s="25"/>
      <x:c r="G6" s="99"/>
      <x:c r="H6" s="100"/>
      <x:c r="I6" s="25" t="str">
        <x:f>IF(COUNTA(A6:H6)=0,"",IF(A6="","缺少工单ID",IF(COUNTIF($A$5:$A$104,A6)&gt;1,"工单ID重复",IF(B6="","缺少门店名称",IF(D6="","缺少优先级",IF(F6="","缺少推进进度","可用"))))))</x:f>
      </x:c>
    </x:row>
    <x:row r="7" ht="28" customHeight="1">
      <x:c r="A7" s="98"/>
      <x:c r="B7" s="25"/>
      <x:c r="C7" s="25"/>
      <x:c r="D7" s="25"/>
      <x:c r="E7" s="99"/>
      <x:c r="F7" s="25"/>
      <x:c r="G7" s="99"/>
      <x:c r="H7" s="100"/>
      <x:c r="I7" s="25" t="str">
        <x:f>IF(COUNTA(A7:H7)=0,"",IF(A7="","缺少工单ID",IF(COUNTIF($A$5:$A$104,A7)&gt;1,"工单ID重复",IF(B7="","缺少门店名称",IF(D7="","缺少优先级",IF(F7="","缺少推进进度","可用"))))))</x:f>
      </x:c>
    </x:row>
    <x:row r="8" ht="28" customHeight="1">
      <x:c r="A8" s="98"/>
      <x:c r="B8" s="25"/>
      <x:c r="C8" s="25"/>
      <x:c r="D8" s="25"/>
      <x:c r="E8" s="99"/>
      <x:c r="F8" s="25"/>
      <x:c r="G8" s="99"/>
      <x:c r="H8" s="100"/>
      <x:c r="I8" s="25" t="str">
        <x:f>IF(COUNTA(A8:H8)=0,"",IF(A8="","缺少工单ID",IF(COUNTIF($A$5:$A$104,A8)&gt;1,"工单ID重复",IF(B8="","缺少门店名称",IF(D8="","缺少优先级",IF(F8="","缺少推进进度","可用"))))))</x:f>
      </x:c>
    </x:row>
    <x:row r="9" ht="28" customHeight="1">
      <x:c r="A9" s="98"/>
      <x:c r="B9" s="25"/>
      <x:c r="C9" s="25"/>
      <x:c r="D9" s="25"/>
      <x:c r="E9" s="99"/>
      <x:c r="F9" s="25"/>
      <x:c r="G9" s="99"/>
      <x:c r="H9" s="100"/>
      <x:c r="I9" s="25" t="str">
        <x:f>IF(COUNTA(A9:H9)=0,"",IF(A9="","缺少工单ID",IF(COUNTIF($A$5:$A$104,A9)&gt;1,"工单ID重复",IF(B9="","缺少门店名称",IF(D9="","缺少优先级",IF(F9="","缺少推进进度","可用"))))))</x:f>
      </x:c>
    </x:row>
    <x:row r="10" ht="28" customHeight="1">
      <x:c r="A10" s="98"/>
      <x:c r="B10" s="25"/>
      <x:c r="C10" s="25"/>
      <x:c r="D10" s="25"/>
      <x:c r="E10" s="99"/>
      <x:c r="F10" s="25"/>
      <x:c r="G10" s="99"/>
      <x:c r="H10" s="100"/>
      <x:c r="I10" s="25" t="str">
        <x:f>IF(COUNTA(A10:H10)=0,"",IF(A10="","缺少工单ID",IF(COUNTIF($A$5:$A$104,A10)&gt;1,"工单ID重复",IF(B10="","缺少门店名称",IF(D10="","缺少优先级",IF(F10="","缺少推进进度","可用"))))))</x:f>
      </x:c>
    </x:row>
    <x:row r="11" ht="28" customHeight="1">
      <x:c r="A11" s="98"/>
      <x:c r="B11" s="25"/>
      <x:c r="C11" s="25"/>
      <x:c r="D11" s="25"/>
      <x:c r="E11" s="99"/>
      <x:c r="F11" s="25"/>
      <x:c r="G11" s="99"/>
      <x:c r="H11" s="100"/>
      <x:c r="I11" s="25" t="str">
        <x:f>IF(COUNTA(A11:H11)=0,"",IF(A11="","缺少工单ID",IF(COUNTIF($A$5:$A$104,A11)&gt;1,"工单ID重复",IF(B11="","缺少门店名称",IF(D11="","缺少优先级",IF(F11="","缺少推进进度","可用"))))))</x:f>
      </x:c>
    </x:row>
    <x:row r="12" ht="28" customHeight="1">
      <x:c r="A12" s="98"/>
      <x:c r="B12" s="25"/>
      <x:c r="C12" s="25"/>
      <x:c r="D12" s="25"/>
      <x:c r="E12" s="99"/>
      <x:c r="F12" s="25"/>
      <x:c r="G12" s="99"/>
      <x:c r="H12" s="100"/>
      <x:c r="I12" s="25" t="str">
        <x:f>IF(COUNTA(A12:H12)=0,"",IF(A12="","缺少工单ID",IF(COUNTIF($A$5:$A$104,A12)&gt;1,"工单ID重复",IF(B12="","缺少门店名称",IF(D12="","缺少优先级",IF(F12="","缺少推进进度","可用"))))))</x:f>
      </x:c>
    </x:row>
    <x:row r="13" ht="28" customHeight="1">
      <x:c r="A13" s="98"/>
      <x:c r="B13" s="25"/>
      <x:c r="C13" s="25"/>
      <x:c r="D13" s="25"/>
      <x:c r="E13" s="99"/>
      <x:c r="F13" s="25"/>
      <x:c r="G13" s="99"/>
      <x:c r="H13" s="100"/>
      <x:c r="I13" s="25" t="str">
        <x:f>IF(COUNTA(A13:H13)=0,"",IF(A13="","缺少工单ID",IF(COUNTIF($A$5:$A$104,A13)&gt;1,"工单ID重复",IF(B13="","缺少门店名称",IF(D13="","缺少优先级",IF(F13="","缺少推进进度","可用"))))))</x:f>
      </x:c>
    </x:row>
    <x:row r="14" ht="28" customHeight="1">
      <x:c r="A14" s="98"/>
      <x:c r="B14" s="25"/>
      <x:c r="C14" s="25"/>
      <x:c r="D14" s="25"/>
      <x:c r="E14" s="99"/>
      <x:c r="F14" s="25"/>
      <x:c r="G14" s="99"/>
      <x:c r="H14" s="100"/>
      <x:c r="I14" s="25" t="str">
        <x:f>IF(COUNTA(A14:H14)=0,"",IF(A14="","缺少工单ID",IF(COUNTIF($A$5:$A$104,A14)&gt;1,"工单ID重复",IF(B14="","缺少门店名称",IF(D14="","缺少优先级",IF(F14="","缺少推进进度","可用"))))))</x:f>
      </x:c>
    </x:row>
    <x:row r="15" ht="28" customHeight="1">
      <x:c r="A15" s="98"/>
      <x:c r="B15" s="25"/>
      <x:c r="C15" s="25"/>
      <x:c r="D15" s="25"/>
      <x:c r="E15" s="99"/>
      <x:c r="F15" s="25"/>
      <x:c r="G15" s="99"/>
      <x:c r="H15" s="100"/>
      <x:c r="I15" s="25" t="str">
        <x:f>IF(COUNTA(A15:H15)=0,"",IF(A15="","缺少工单ID",IF(COUNTIF($A$5:$A$104,A15)&gt;1,"工单ID重复",IF(B15="","缺少门店名称",IF(D15="","缺少优先级",IF(F15="","缺少推进进度","可用"))))))</x:f>
      </x:c>
    </x:row>
    <x:row r="16" ht="28" customHeight="1">
      <x:c r="A16" s="98"/>
      <x:c r="B16" s="25"/>
      <x:c r="C16" s="25"/>
      <x:c r="D16" s="25"/>
      <x:c r="E16" s="99"/>
      <x:c r="F16" s="25"/>
      <x:c r="G16" s="99"/>
      <x:c r="H16" s="100"/>
      <x:c r="I16" s="25" t="str">
        <x:f>IF(COUNTA(A16:H16)=0,"",IF(A16="","缺少工单ID",IF(COUNTIF($A$5:$A$104,A16)&gt;1,"工单ID重复",IF(B16="","缺少门店名称",IF(D16="","缺少优先级",IF(F16="","缺少推进进度","可用"))))))</x:f>
      </x:c>
    </x:row>
    <x:row r="17" ht="28" customHeight="1">
      <x:c r="A17" s="98"/>
      <x:c r="B17" s="25"/>
      <x:c r="C17" s="25"/>
      <x:c r="D17" s="25"/>
      <x:c r="E17" s="99"/>
      <x:c r="F17" s="25"/>
      <x:c r="G17" s="99"/>
      <x:c r="H17" s="100"/>
      <x:c r="I17" s="25" t="str">
        <x:f>IF(COUNTA(A17:H17)=0,"",IF(A17="","缺少工单ID",IF(COUNTIF($A$5:$A$104,A17)&gt;1,"工单ID重复",IF(B17="","缺少门店名称",IF(D17="","缺少优先级",IF(F17="","缺少推进进度","可用"))))))</x:f>
      </x:c>
    </x:row>
    <x:row r="18" ht="28" customHeight="1">
      <x:c r="A18" s="98"/>
      <x:c r="B18" s="25"/>
      <x:c r="C18" s="25"/>
      <x:c r="D18" s="25"/>
      <x:c r="E18" s="99"/>
      <x:c r="F18" s="25"/>
      <x:c r="G18" s="99"/>
      <x:c r="H18" s="100"/>
      <x:c r="I18" s="25" t="str">
        <x:f>IF(COUNTA(A18:H18)=0,"",IF(A18="","缺少工单ID",IF(COUNTIF($A$5:$A$104,A18)&gt;1,"工单ID重复",IF(B18="","缺少门店名称",IF(D18="","缺少优先级",IF(F18="","缺少推进进度","可用"))))))</x:f>
      </x:c>
    </x:row>
    <x:row r="19" ht="28" customHeight="1">
      <x:c r="A19" s="98"/>
      <x:c r="B19" s="25"/>
      <x:c r="C19" s="25"/>
      <x:c r="D19" s="25"/>
      <x:c r="E19" s="99"/>
      <x:c r="F19" s="25"/>
      <x:c r="G19" s="99"/>
      <x:c r="H19" s="100"/>
      <x:c r="I19" s="25" t="str">
        <x:f>IF(COUNTA(A19:H19)=0,"",IF(A19="","缺少工单ID",IF(COUNTIF($A$5:$A$104,A19)&gt;1,"工单ID重复",IF(B19="","缺少门店名称",IF(D19="","缺少优先级",IF(F19="","缺少推进进度","可用"))))))</x:f>
      </x:c>
    </x:row>
    <x:row r="20" ht="28" customHeight="1">
      <x:c r="A20" s="98"/>
      <x:c r="B20" s="25"/>
      <x:c r="C20" s="25"/>
      <x:c r="D20" s="25"/>
      <x:c r="E20" s="99"/>
      <x:c r="F20" s="25"/>
      <x:c r="G20" s="99"/>
      <x:c r="H20" s="100"/>
      <x:c r="I20" s="25" t="str">
        <x:f>IF(COUNTA(A20:H20)=0,"",IF(A20="","缺少工单ID",IF(COUNTIF($A$5:$A$104,A20)&gt;1,"工单ID重复",IF(B20="","缺少门店名称",IF(D20="","缺少优先级",IF(F20="","缺少推进进度","可用"))))))</x:f>
      </x:c>
    </x:row>
    <x:row r="21" ht="28" customHeight="1">
      <x:c r="A21" s="98"/>
      <x:c r="B21" s="25"/>
      <x:c r="C21" s="25"/>
      <x:c r="D21" s="25"/>
      <x:c r="E21" s="99"/>
      <x:c r="F21" s="25"/>
      <x:c r="G21" s="99"/>
      <x:c r="H21" s="100"/>
      <x:c r="I21" s="25" t="str">
        <x:f>IF(COUNTA(A21:H21)=0,"",IF(A21="","缺少工单ID",IF(COUNTIF($A$5:$A$104,A21)&gt;1,"工单ID重复",IF(B21="","缺少门店名称",IF(D21="","缺少优先级",IF(F21="","缺少推进进度","可用"))))))</x:f>
      </x:c>
    </x:row>
    <x:row r="22" ht="28" customHeight="1">
      <x:c r="A22" s="98"/>
      <x:c r="B22" s="25"/>
      <x:c r="C22" s="25"/>
      <x:c r="D22" s="25"/>
      <x:c r="E22" s="99"/>
      <x:c r="F22" s="25"/>
      <x:c r="G22" s="99"/>
      <x:c r="H22" s="100"/>
      <x:c r="I22" s="25" t="str">
        <x:f>IF(COUNTA(A22:H22)=0,"",IF(A22="","缺少工单ID",IF(COUNTIF($A$5:$A$104,A22)&gt;1,"工单ID重复",IF(B22="","缺少门店名称",IF(D22="","缺少优先级",IF(F22="","缺少推进进度","可用"))))))</x:f>
      </x:c>
    </x:row>
    <x:row r="23" ht="28" customHeight="1">
      <x:c r="A23" s="98"/>
      <x:c r="B23" s="25"/>
      <x:c r="C23" s="25"/>
      <x:c r="D23" s="25"/>
      <x:c r="E23" s="99"/>
      <x:c r="F23" s="25"/>
      <x:c r="G23" s="99"/>
      <x:c r="H23" s="100"/>
      <x:c r="I23" s="25" t="str">
        <x:f>IF(COUNTA(A23:H23)=0,"",IF(A23="","缺少工单ID",IF(COUNTIF($A$5:$A$104,A23)&gt;1,"工单ID重复",IF(B23="","缺少门店名称",IF(D23="","缺少优先级",IF(F23="","缺少推进进度","可用"))))))</x:f>
      </x:c>
    </x:row>
    <x:row r="24" ht="28" customHeight="1">
      <x:c r="A24" s="98"/>
      <x:c r="B24" s="25"/>
      <x:c r="C24" s="25"/>
      <x:c r="D24" s="25"/>
      <x:c r="E24" s="99"/>
      <x:c r="F24" s="25"/>
      <x:c r="G24" s="99"/>
      <x:c r="H24" s="100"/>
      <x:c r="I24" s="25" t="str">
        <x:f>IF(COUNTA(A24:H24)=0,"",IF(A24="","缺少工单ID",IF(COUNTIF($A$5:$A$104,A24)&gt;1,"工单ID重复",IF(B24="","缺少门店名称",IF(D24="","缺少优先级",IF(F24="","缺少推进进度","可用"))))))</x:f>
      </x:c>
    </x:row>
    <x:row r="25" ht="28" customHeight="1">
      <x:c r="A25" s="98"/>
      <x:c r="B25" s="25"/>
      <x:c r="C25" s="25"/>
      <x:c r="D25" s="25"/>
      <x:c r="E25" s="99"/>
      <x:c r="F25" s="25"/>
      <x:c r="G25" s="99"/>
      <x:c r="H25" s="100"/>
      <x:c r="I25" s="25" t="str">
        <x:f>IF(COUNTA(A25:H25)=0,"",IF(A25="","缺少工单ID",IF(COUNTIF($A$5:$A$104,A25)&gt;1,"工单ID重复",IF(B25="","缺少门店名称",IF(D25="","缺少优先级",IF(F25="","缺少推进进度","可用"))))))</x:f>
      </x:c>
    </x:row>
    <x:row r="26" ht="28" customHeight="1">
      <x:c r="A26" s="98"/>
      <x:c r="B26" s="25"/>
      <x:c r="C26" s="25"/>
      <x:c r="D26" s="25"/>
      <x:c r="E26" s="99"/>
      <x:c r="F26" s="25"/>
      <x:c r="G26" s="99"/>
      <x:c r="H26" s="100"/>
      <x:c r="I26" s="25" t="str">
        <x:f>IF(COUNTA(A26:H26)=0,"",IF(A26="","缺少工单ID",IF(COUNTIF($A$5:$A$104,A26)&gt;1,"工单ID重复",IF(B26="","缺少门店名称",IF(D26="","缺少优先级",IF(F26="","缺少推进进度","可用"))))))</x:f>
      </x:c>
    </x:row>
    <x:row r="27" ht="28" customHeight="1">
      <x:c r="A27" s="98"/>
      <x:c r="B27" s="25"/>
      <x:c r="C27" s="25"/>
      <x:c r="D27" s="25"/>
      <x:c r="E27" s="99"/>
      <x:c r="F27" s="25"/>
      <x:c r="G27" s="99"/>
      <x:c r="H27" s="100"/>
      <x:c r="I27" s="25" t="str">
        <x:f>IF(COUNTA(A27:H27)=0,"",IF(A27="","缺少工单ID",IF(COUNTIF($A$5:$A$104,A27)&gt;1,"工单ID重复",IF(B27="","缺少门店名称",IF(D27="","缺少优先级",IF(F27="","缺少推进进度","可用"))))))</x:f>
      </x:c>
    </x:row>
    <x:row r="28" ht="28" customHeight="1">
      <x:c r="A28" s="98"/>
      <x:c r="B28" s="25"/>
      <x:c r="C28" s="25"/>
      <x:c r="D28" s="25"/>
      <x:c r="E28" s="99"/>
      <x:c r="F28" s="25"/>
      <x:c r="G28" s="99"/>
      <x:c r="H28" s="100"/>
      <x:c r="I28" s="25" t="str">
        <x:f>IF(COUNTA(A28:H28)=0,"",IF(A28="","缺少工单ID",IF(COUNTIF($A$5:$A$104,A28)&gt;1,"工单ID重复",IF(B28="","缺少门店名称",IF(D28="","缺少优先级",IF(F28="","缺少推进进度","可用"))))))</x:f>
      </x:c>
    </x:row>
    <x:row r="29" ht="28" customHeight="1">
      <x:c r="A29" s="98"/>
      <x:c r="B29" s="25"/>
      <x:c r="C29" s="25"/>
      <x:c r="D29" s="25"/>
      <x:c r="E29" s="99"/>
      <x:c r="F29" s="25"/>
      <x:c r="G29" s="99"/>
      <x:c r="H29" s="100"/>
      <x:c r="I29" s="25" t="str">
        <x:f>IF(COUNTA(A29:H29)=0,"",IF(A29="","缺少工单ID",IF(COUNTIF($A$5:$A$104,A29)&gt;1,"工单ID重复",IF(B29="","缺少门店名称",IF(D29="","缺少优先级",IF(F29="","缺少推进进度","可用"))))))</x:f>
      </x:c>
    </x:row>
    <x:row r="30" ht="28" customHeight="1">
      <x:c r="A30" s="98"/>
      <x:c r="B30" s="25"/>
      <x:c r="C30" s="25"/>
      <x:c r="D30" s="25"/>
      <x:c r="E30" s="99"/>
      <x:c r="F30" s="25"/>
      <x:c r="G30" s="99"/>
      <x:c r="H30" s="100"/>
      <x:c r="I30" s="25" t="str">
        <x:f>IF(COUNTA(A30:H30)=0,"",IF(A30="","缺少工单ID",IF(COUNTIF($A$5:$A$104,A30)&gt;1,"工单ID重复",IF(B30="","缺少门店名称",IF(D30="","缺少优先级",IF(F30="","缺少推进进度","可用"))))))</x:f>
      </x:c>
    </x:row>
    <x:row r="31" ht="28" customHeight="1">
      <x:c r="A31" s="98"/>
      <x:c r="B31" s="25"/>
      <x:c r="C31" s="25"/>
      <x:c r="D31" s="25"/>
      <x:c r="E31" s="99"/>
      <x:c r="F31" s="25"/>
      <x:c r="G31" s="99"/>
      <x:c r="H31" s="100"/>
      <x:c r="I31" s="25" t="str">
        <x:f>IF(COUNTA(A31:H31)=0,"",IF(A31="","缺少工单ID",IF(COUNTIF($A$5:$A$104,A31)&gt;1,"工单ID重复",IF(B31="","缺少门店名称",IF(D31="","缺少优先级",IF(F31="","缺少推进进度","可用"))))))</x:f>
      </x:c>
    </x:row>
    <x:row r="32" ht="28" customHeight="1">
      <x:c r="A32" s="98"/>
      <x:c r="B32" s="25"/>
      <x:c r="C32" s="25"/>
      <x:c r="D32" s="25"/>
      <x:c r="E32" s="99"/>
      <x:c r="F32" s="25"/>
      <x:c r="G32" s="99"/>
      <x:c r="H32" s="100"/>
      <x:c r="I32" s="25" t="str">
        <x:f>IF(COUNTA(A32:H32)=0,"",IF(A32="","缺少工单ID",IF(COUNTIF($A$5:$A$104,A32)&gt;1,"工单ID重复",IF(B32="","缺少门店名称",IF(D32="","缺少优先级",IF(F32="","缺少推进进度","可用"))))))</x:f>
      </x:c>
    </x:row>
    <x:row r="33" ht="28" customHeight="1">
      <x:c r="A33" s="98"/>
      <x:c r="B33" s="25"/>
      <x:c r="C33" s="25"/>
      <x:c r="D33" s="25"/>
      <x:c r="E33" s="99"/>
      <x:c r="F33" s="25"/>
      <x:c r="G33" s="99"/>
      <x:c r="H33" s="100"/>
      <x:c r="I33" s="25" t="str">
        <x:f>IF(COUNTA(A33:H33)=0,"",IF(A33="","缺少工单ID",IF(COUNTIF($A$5:$A$104,A33)&gt;1,"工单ID重复",IF(B33="","缺少门店名称",IF(D33="","缺少优先级",IF(F33="","缺少推进进度","可用"))))))</x:f>
      </x:c>
    </x:row>
    <x:row r="34" ht="28" customHeight="1">
      <x:c r="A34" s="98"/>
      <x:c r="B34" s="25"/>
      <x:c r="C34" s="25"/>
      <x:c r="D34" s="25"/>
      <x:c r="E34" s="99"/>
      <x:c r="F34" s="25"/>
      <x:c r="G34" s="99"/>
      <x:c r="H34" s="100"/>
      <x:c r="I34" s="25" t="str">
        <x:f>IF(COUNTA(A34:H34)=0,"",IF(A34="","缺少工单ID",IF(COUNTIF($A$5:$A$104,A34)&gt;1,"工单ID重复",IF(B34="","缺少门店名称",IF(D34="","缺少优先级",IF(F34="","缺少推进进度","可用"))))))</x:f>
      </x:c>
    </x:row>
    <x:row r="35" ht="28" customHeight="1">
      <x:c r="A35" s="98"/>
      <x:c r="B35" s="25"/>
      <x:c r="C35" s="25"/>
      <x:c r="D35" s="25"/>
      <x:c r="E35" s="99"/>
      <x:c r="F35" s="25"/>
      <x:c r="G35" s="99"/>
      <x:c r="H35" s="100"/>
      <x:c r="I35" s="25" t="str">
        <x:f>IF(COUNTA(A35:H35)=0,"",IF(A35="","缺少工单ID",IF(COUNTIF($A$5:$A$104,A35)&gt;1,"工单ID重复",IF(B35="","缺少门店名称",IF(D35="","缺少优先级",IF(F35="","缺少推进进度","可用"))))))</x:f>
      </x:c>
    </x:row>
    <x:row r="36" ht="28" customHeight="1">
      <x:c r="A36" s="98"/>
      <x:c r="B36" s="25"/>
      <x:c r="C36" s="25"/>
      <x:c r="D36" s="25"/>
      <x:c r="E36" s="99"/>
      <x:c r="F36" s="25"/>
      <x:c r="G36" s="99"/>
      <x:c r="H36" s="100"/>
      <x:c r="I36" s="25" t="str">
        <x:f>IF(COUNTA(A36:H36)=0,"",IF(A36="","缺少工单ID",IF(COUNTIF($A$5:$A$104,A36)&gt;1,"工单ID重复",IF(B36="","缺少门店名称",IF(D36="","缺少优先级",IF(F36="","缺少推进进度","可用"))))))</x:f>
      </x:c>
    </x:row>
    <x:row r="37" ht="28" customHeight="1">
      <x:c r="A37" s="98"/>
      <x:c r="B37" s="25"/>
      <x:c r="C37" s="25"/>
      <x:c r="D37" s="25"/>
      <x:c r="E37" s="99"/>
      <x:c r="F37" s="25"/>
      <x:c r="G37" s="99"/>
      <x:c r="H37" s="100"/>
      <x:c r="I37" s="25" t="str">
        <x:f>IF(COUNTA(A37:H37)=0,"",IF(A37="","缺少工单ID",IF(COUNTIF($A$5:$A$104,A37)&gt;1,"工单ID重复",IF(B37="","缺少门店名称",IF(D37="","缺少优先级",IF(F37="","缺少推进进度","可用"))))))</x:f>
      </x:c>
    </x:row>
    <x:row r="38" ht="28" customHeight="1">
      <x:c r="A38" s="98"/>
      <x:c r="B38" s="25"/>
      <x:c r="C38" s="25"/>
      <x:c r="D38" s="25"/>
      <x:c r="E38" s="99"/>
      <x:c r="F38" s="25"/>
      <x:c r="G38" s="99"/>
      <x:c r="H38" s="100"/>
      <x:c r="I38" s="25" t="str">
        <x:f>IF(COUNTA(A38:H38)=0,"",IF(A38="","缺少工单ID",IF(COUNTIF($A$5:$A$104,A38)&gt;1,"工单ID重复",IF(B38="","缺少门店名称",IF(D38="","缺少优先级",IF(F38="","缺少推进进度","可用"))))))</x:f>
      </x:c>
    </x:row>
    <x:row r="39" ht="28" customHeight="1">
      <x:c r="A39" s="98"/>
      <x:c r="B39" s="25"/>
      <x:c r="C39" s="25"/>
      <x:c r="D39" s="25"/>
      <x:c r="E39" s="99"/>
      <x:c r="F39" s="25"/>
      <x:c r="G39" s="99"/>
      <x:c r="H39" s="100"/>
      <x:c r="I39" s="25" t="str">
        <x:f>IF(COUNTA(A39:H39)=0,"",IF(A39="","缺少工单ID",IF(COUNTIF($A$5:$A$104,A39)&gt;1,"工单ID重复",IF(B39="","缺少门店名称",IF(D39="","缺少优先级",IF(F39="","缺少推进进度","可用"))))))</x:f>
      </x:c>
    </x:row>
    <x:row r="40" ht="28" customHeight="1">
      <x:c r="A40" s="98"/>
      <x:c r="B40" s="25"/>
      <x:c r="C40" s="25"/>
      <x:c r="D40" s="25"/>
      <x:c r="E40" s="99"/>
      <x:c r="F40" s="25"/>
      <x:c r="G40" s="99"/>
      <x:c r="H40" s="100"/>
      <x:c r="I40" s="25" t="str">
        <x:f>IF(COUNTA(A40:H40)=0,"",IF(A40="","缺少工单ID",IF(COUNTIF($A$5:$A$104,A40)&gt;1,"工单ID重复",IF(B40="","缺少门店名称",IF(D40="","缺少优先级",IF(F40="","缺少推进进度","可用"))))))</x:f>
      </x:c>
    </x:row>
    <x:row r="41" ht="28" customHeight="1">
      <x:c r="A41" s="98"/>
      <x:c r="B41" s="25"/>
      <x:c r="C41" s="25"/>
      <x:c r="D41" s="25"/>
      <x:c r="E41" s="99"/>
      <x:c r="F41" s="25"/>
      <x:c r="G41" s="99"/>
      <x:c r="H41" s="100"/>
      <x:c r="I41" s="25" t="str">
        <x:f>IF(COUNTA(A41:H41)=0,"",IF(A41="","缺少工单ID",IF(COUNTIF($A$5:$A$104,A41)&gt;1,"工单ID重复",IF(B41="","缺少门店名称",IF(D41="","缺少优先级",IF(F41="","缺少推进进度","可用"))))))</x:f>
      </x:c>
    </x:row>
    <x:row r="42" ht="28" customHeight="1">
      <x:c r="A42" s="98"/>
      <x:c r="B42" s="25"/>
      <x:c r="C42" s="25"/>
      <x:c r="D42" s="25"/>
      <x:c r="E42" s="99"/>
      <x:c r="F42" s="25"/>
      <x:c r="G42" s="99"/>
      <x:c r="H42" s="100"/>
      <x:c r="I42" s="25" t="str">
        <x:f>IF(COUNTA(A42:H42)=0,"",IF(A42="","缺少工单ID",IF(COUNTIF($A$5:$A$104,A42)&gt;1,"工单ID重复",IF(B42="","缺少门店名称",IF(D42="","缺少优先级",IF(F42="","缺少推进进度","可用"))))))</x:f>
      </x:c>
    </x:row>
    <x:row r="43" ht="28" customHeight="1">
      <x:c r="A43" s="98"/>
      <x:c r="B43" s="25"/>
      <x:c r="C43" s="25"/>
      <x:c r="D43" s="25"/>
      <x:c r="E43" s="99"/>
      <x:c r="F43" s="25"/>
      <x:c r="G43" s="99"/>
      <x:c r="H43" s="100"/>
      <x:c r="I43" s="25" t="str">
        <x:f>IF(COUNTA(A43:H43)=0,"",IF(A43="","缺少工单ID",IF(COUNTIF($A$5:$A$104,A43)&gt;1,"工单ID重复",IF(B43="","缺少门店名称",IF(D43="","缺少优先级",IF(F43="","缺少推进进度","可用"))))))</x:f>
      </x:c>
    </x:row>
    <x:row r="44" ht="28" customHeight="1">
      <x:c r="A44" s="98"/>
      <x:c r="B44" s="25"/>
      <x:c r="C44" s="25"/>
      <x:c r="D44" s="25"/>
      <x:c r="E44" s="99"/>
      <x:c r="F44" s="25"/>
      <x:c r="G44" s="99"/>
      <x:c r="H44" s="100"/>
      <x:c r="I44" s="25" t="str">
        <x:f>IF(COUNTA(A44:H44)=0,"",IF(A44="","缺少工单ID",IF(COUNTIF($A$5:$A$104,A44)&gt;1,"工单ID重复",IF(B44="","缺少门店名称",IF(D44="","缺少优先级",IF(F44="","缺少推进进度","可用"))))))</x:f>
      </x:c>
    </x:row>
    <x:row r="45" ht="28" customHeight="1">
      <x:c r="A45" s="98"/>
      <x:c r="B45" s="25"/>
      <x:c r="C45" s="25"/>
      <x:c r="D45" s="25"/>
      <x:c r="E45" s="99"/>
      <x:c r="F45" s="25"/>
      <x:c r="G45" s="99"/>
      <x:c r="H45" s="100"/>
      <x:c r="I45" s="25" t="str">
        <x:f>IF(COUNTA(A45:H45)=0,"",IF(A45="","缺少工单ID",IF(COUNTIF($A$5:$A$104,A45)&gt;1,"工单ID重复",IF(B45="","缺少门店名称",IF(D45="","缺少优先级",IF(F45="","缺少推进进度","可用"))))))</x:f>
      </x:c>
    </x:row>
    <x:row r="46" ht="28" customHeight="1">
      <x:c r="A46" s="98"/>
      <x:c r="B46" s="25"/>
      <x:c r="C46" s="25"/>
      <x:c r="D46" s="25"/>
      <x:c r="E46" s="99"/>
      <x:c r="F46" s="25"/>
      <x:c r="G46" s="99"/>
      <x:c r="H46" s="100"/>
      <x:c r="I46" s="25" t="str">
        <x:f>IF(COUNTA(A46:H46)=0,"",IF(A46="","缺少工单ID",IF(COUNTIF($A$5:$A$104,A46)&gt;1,"工单ID重复",IF(B46="","缺少门店名称",IF(D46="","缺少优先级",IF(F46="","缺少推进进度","可用"))))))</x:f>
      </x:c>
    </x:row>
    <x:row r="47" ht="28" customHeight="1">
      <x:c r="A47" s="98"/>
      <x:c r="B47" s="25"/>
      <x:c r="C47" s="25"/>
      <x:c r="D47" s="25"/>
      <x:c r="E47" s="99"/>
      <x:c r="F47" s="25"/>
      <x:c r="G47" s="99"/>
      <x:c r="H47" s="100"/>
      <x:c r="I47" s="25" t="str">
        <x:f>IF(COUNTA(A47:H47)=0,"",IF(A47="","缺少工单ID",IF(COUNTIF($A$5:$A$104,A47)&gt;1,"工单ID重复",IF(B47="","缺少门店名称",IF(D47="","缺少优先级",IF(F47="","缺少推进进度","可用"))))))</x:f>
      </x:c>
    </x:row>
    <x:row r="48" ht="28" customHeight="1">
      <x:c r="A48" s="98"/>
      <x:c r="B48" s="25"/>
      <x:c r="C48" s="25"/>
      <x:c r="D48" s="25"/>
      <x:c r="E48" s="99"/>
      <x:c r="F48" s="25"/>
      <x:c r="G48" s="99"/>
      <x:c r="H48" s="100"/>
      <x:c r="I48" s="25" t="str">
        <x:f>IF(COUNTA(A48:H48)=0,"",IF(A48="","缺少工单ID",IF(COUNTIF($A$5:$A$104,A48)&gt;1,"工单ID重复",IF(B48="","缺少门店名称",IF(D48="","缺少优先级",IF(F48="","缺少推进进度","可用"))))))</x:f>
      </x:c>
    </x:row>
    <x:row r="49" ht="28" customHeight="1">
      <x:c r="A49" s="98"/>
      <x:c r="B49" s="25"/>
      <x:c r="C49" s="25"/>
      <x:c r="D49" s="25"/>
      <x:c r="E49" s="99"/>
      <x:c r="F49" s="25"/>
      <x:c r="G49" s="99"/>
      <x:c r="H49" s="100"/>
      <x:c r="I49" s="25" t="str">
        <x:f>IF(COUNTA(A49:H49)=0,"",IF(A49="","缺少工单ID",IF(COUNTIF($A$5:$A$104,A49)&gt;1,"工单ID重复",IF(B49="","缺少门店名称",IF(D49="","缺少优先级",IF(F49="","缺少推进进度","可用"))))))</x:f>
      </x:c>
    </x:row>
    <x:row r="50" ht="28" customHeight="1">
      <x:c r="A50" s="98"/>
      <x:c r="B50" s="25"/>
      <x:c r="C50" s="25"/>
      <x:c r="D50" s="25"/>
      <x:c r="E50" s="99"/>
      <x:c r="F50" s="25"/>
      <x:c r="G50" s="99"/>
      <x:c r="H50" s="100"/>
      <x:c r="I50" s="25" t="str">
        <x:f>IF(COUNTA(A50:H50)=0,"",IF(A50="","缺少工单ID",IF(COUNTIF($A$5:$A$104,A50)&gt;1,"工单ID重复",IF(B50="","缺少门店名称",IF(D50="","缺少优先级",IF(F50="","缺少推进进度","可用"))))))</x:f>
      </x:c>
    </x:row>
    <x:row r="51" ht="28" customHeight="1">
      <x:c r="A51" s="98"/>
      <x:c r="B51" s="25"/>
      <x:c r="C51" s="25"/>
      <x:c r="D51" s="25"/>
      <x:c r="E51" s="99"/>
      <x:c r="F51" s="25"/>
      <x:c r="G51" s="99"/>
      <x:c r="H51" s="100"/>
      <x:c r="I51" s="25" t="str">
        <x:f>IF(COUNTA(A51:H51)=0,"",IF(A51="","缺少工单ID",IF(COUNTIF($A$5:$A$104,A51)&gt;1,"工单ID重复",IF(B51="","缺少门店名称",IF(D51="","缺少优先级",IF(F51="","缺少推进进度","可用"))))))</x:f>
      </x:c>
    </x:row>
    <x:row r="52" ht="28" customHeight="1">
      <x:c r="A52" s="98"/>
      <x:c r="B52" s="25"/>
      <x:c r="C52" s="25"/>
      <x:c r="D52" s="25"/>
      <x:c r="E52" s="99"/>
      <x:c r="F52" s="25"/>
      <x:c r="G52" s="99"/>
      <x:c r="H52" s="100"/>
      <x:c r="I52" s="25" t="str">
        <x:f>IF(COUNTA(A52:H52)=0,"",IF(A52="","缺少工单ID",IF(COUNTIF($A$5:$A$104,A52)&gt;1,"工单ID重复",IF(B52="","缺少门店名称",IF(D52="","缺少优先级",IF(F52="","缺少推进进度","可用"))))))</x:f>
      </x:c>
    </x:row>
    <x:row r="53" ht="28" customHeight="1">
      <x:c r="A53" s="98"/>
      <x:c r="B53" s="25"/>
      <x:c r="C53" s="25"/>
      <x:c r="D53" s="25"/>
      <x:c r="E53" s="99"/>
      <x:c r="F53" s="25"/>
      <x:c r="G53" s="99"/>
      <x:c r="H53" s="100"/>
      <x:c r="I53" s="25" t="str">
        <x:f>IF(COUNTA(A53:H53)=0,"",IF(A53="","缺少工单ID",IF(COUNTIF($A$5:$A$104,A53)&gt;1,"工单ID重复",IF(B53="","缺少门店名称",IF(D53="","缺少优先级",IF(F53="","缺少推进进度","可用"))))))</x:f>
      </x:c>
    </x:row>
    <x:row r="54" ht="28" customHeight="1">
      <x:c r="A54" s="98"/>
      <x:c r="B54" s="25"/>
      <x:c r="C54" s="25"/>
      <x:c r="D54" s="25"/>
      <x:c r="E54" s="99"/>
      <x:c r="F54" s="25"/>
      <x:c r="G54" s="99"/>
      <x:c r="H54" s="100"/>
      <x:c r="I54" s="25" t="str">
        <x:f>IF(COUNTA(A54:H54)=0,"",IF(A54="","缺少工单ID",IF(COUNTIF($A$5:$A$104,A54)&gt;1,"工单ID重复",IF(B54="","缺少门店名称",IF(D54="","缺少优先级",IF(F54="","缺少推进进度","可用"))))))</x:f>
      </x:c>
    </x:row>
    <x:row r="55" ht="28" customHeight="1">
      <x:c r="A55" s="98"/>
      <x:c r="B55" s="25"/>
      <x:c r="C55" s="25"/>
      <x:c r="D55" s="25"/>
      <x:c r="E55" s="99"/>
      <x:c r="F55" s="25"/>
      <x:c r="G55" s="99"/>
      <x:c r="H55" s="100"/>
      <x:c r="I55" s="25" t="str">
        <x:f>IF(COUNTA(A55:H55)=0,"",IF(A55="","缺少工单ID",IF(COUNTIF($A$5:$A$104,A55)&gt;1,"工单ID重复",IF(B55="","缺少门店名称",IF(D55="","缺少优先级",IF(F55="","缺少推进进度","可用"))))))</x:f>
      </x:c>
    </x:row>
    <x:row r="56" ht="28" customHeight="1">
      <x:c r="A56" s="98"/>
      <x:c r="B56" s="25"/>
      <x:c r="C56" s="25"/>
      <x:c r="D56" s="25"/>
      <x:c r="E56" s="99"/>
      <x:c r="F56" s="25"/>
      <x:c r="G56" s="99"/>
      <x:c r="H56" s="100"/>
      <x:c r="I56" s="25" t="str">
        <x:f>IF(COUNTA(A56:H56)=0,"",IF(A56="","缺少工单ID",IF(COUNTIF($A$5:$A$104,A56)&gt;1,"工单ID重复",IF(B56="","缺少门店名称",IF(D56="","缺少优先级",IF(F56="","缺少推进进度","可用"))))))</x:f>
      </x:c>
    </x:row>
    <x:row r="57" ht="28" customHeight="1">
      <x:c r="A57" s="98"/>
      <x:c r="B57" s="25"/>
      <x:c r="C57" s="25"/>
      <x:c r="D57" s="25"/>
      <x:c r="E57" s="99"/>
      <x:c r="F57" s="25"/>
      <x:c r="G57" s="99"/>
      <x:c r="H57" s="100"/>
      <x:c r="I57" s="25" t="str">
        <x:f>IF(COUNTA(A57:H57)=0,"",IF(A57="","缺少工单ID",IF(COUNTIF($A$5:$A$104,A57)&gt;1,"工单ID重复",IF(B57="","缺少门店名称",IF(D57="","缺少优先级",IF(F57="","缺少推进进度","可用"))))))</x:f>
      </x:c>
    </x:row>
    <x:row r="58" ht="28" customHeight="1">
      <x:c r="A58" s="98"/>
      <x:c r="B58" s="25"/>
      <x:c r="C58" s="25"/>
      <x:c r="D58" s="25"/>
      <x:c r="E58" s="99"/>
      <x:c r="F58" s="25"/>
      <x:c r="G58" s="99"/>
      <x:c r="H58" s="100"/>
      <x:c r="I58" s="25" t="str">
        <x:f>IF(COUNTA(A58:H58)=0,"",IF(A58="","缺少工单ID",IF(COUNTIF($A$5:$A$104,A58)&gt;1,"工单ID重复",IF(B58="","缺少门店名称",IF(D58="","缺少优先级",IF(F58="","缺少推进进度","可用"))))))</x:f>
      </x:c>
    </x:row>
    <x:row r="59" ht="28" customHeight="1">
      <x:c r="A59" s="98"/>
      <x:c r="B59" s="25"/>
      <x:c r="C59" s="25"/>
      <x:c r="D59" s="25"/>
      <x:c r="E59" s="99"/>
      <x:c r="F59" s="25"/>
      <x:c r="G59" s="99"/>
      <x:c r="H59" s="100"/>
      <x:c r="I59" s="25" t="str">
        <x:f>IF(COUNTA(A59:H59)=0,"",IF(A59="","缺少工单ID",IF(COUNTIF($A$5:$A$104,A59)&gt;1,"工单ID重复",IF(B59="","缺少门店名称",IF(D59="","缺少优先级",IF(F59="","缺少推进进度","可用"))))))</x:f>
      </x:c>
    </x:row>
    <x:row r="60" ht="28" customHeight="1">
      <x:c r="A60" s="98"/>
      <x:c r="B60" s="25"/>
      <x:c r="C60" s="25"/>
      <x:c r="D60" s="25"/>
      <x:c r="E60" s="99"/>
      <x:c r="F60" s="25"/>
      <x:c r="G60" s="99"/>
      <x:c r="H60" s="100"/>
      <x:c r="I60" s="25" t="str">
        <x:f>IF(COUNTA(A60:H60)=0,"",IF(A60="","缺少工单ID",IF(COUNTIF($A$5:$A$104,A60)&gt;1,"工单ID重复",IF(B60="","缺少门店名称",IF(D60="","缺少优先级",IF(F60="","缺少推进进度","可用"))))))</x:f>
      </x:c>
    </x:row>
    <x:row r="61" ht="28" customHeight="1">
      <x:c r="A61" s="98"/>
      <x:c r="B61" s="25"/>
      <x:c r="C61" s="25"/>
      <x:c r="D61" s="25"/>
      <x:c r="E61" s="99"/>
      <x:c r="F61" s="25"/>
      <x:c r="G61" s="99"/>
      <x:c r="H61" s="100"/>
      <x:c r="I61" s="25" t="str">
        <x:f>IF(COUNTA(A61:H61)=0,"",IF(A61="","缺少工单ID",IF(COUNTIF($A$5:$A$104,A61)&gt;1,"工单ID重复",IF(B61="","缺少门店名称",IF(D61="","缺少优先级",IF(F61="","缺少推进进度","可用"))))))</x:f>
      </x:c>
    </x:row>
    <x:row r="62" ht="28" customHeight="1">
      <x:c r="A62" s="98"/>
      <x:c r="B62" s="25"/>
      <x:c r="C62" s="25"/>
      <x:c r="D62" s="25"/>
      <x:c r="E62" s="99"/>
      <x:c r="F62" s="25"/>
      <x:c r="G62" s="99"/>
      <x:c r="H62" s="100"/>
      <x:c r="I62" s="25" t="str">
        <x:f>IF(COUNTA(A62:H62)=0,"",IF(A62="","缺少工单ID",IF(COUNTIF($A$5:$A$104,A62)&gt;1,"工单ID重复",IF(B62="","缺少门店名称",IF(D62="","缺少优先级",IF(F62="","缺少推进进度","可用"))))))</x:f>
      </x:c>
    </x:row>
    <x:row r="63" ht="28" customHeight="1">
      <x:c r="A63" s="98"/>
      <x:c r="B63" s="25"/>
      <x:c r="C63" s="25"/>
      <x:c r="D63" s="25"/>
      <x:c r="E63" s="99"/>
      <x:c r="F63" s="25"/>
      <x:c r="G63" s="99"/>
      <x:c r="H63" s="100"/>
      <x:c r="I63" s="25" t="str">
        <x:f>IF(COUNTA(A63:H63)=0,"",IF(A63="","缺少工单ID",IF(COUNTIF($A$5:$A$104,A63)&gt;1,"工单ID重复",IF(B63="","缺少门店名称",IF(D63="","缺少优先级",IF(F63="","缺少推进进度","可用"))))))</x:f>
      </x:c>
    </x:row>
    <x:row r="64" ht="28" customHeight="1">
      <x:c r="A64" s="98"/>
      <x:c r="B64" s="25"/>
      <x:c r="C64" s="25"/>
      <x:c r="D64" s="25"/>
      <x:c r="E64" s="99"/>
      <x:c r="F64" s="25"/>
      <x:c r="G64" s="99"/>
      <x:c r="H64" s="100"/>
      <x:c r="I64" s="25" t="str">
        <x:f>IF(COUNTA(A64:H64)=0,"",IF(A64="","缺少工单ID",IF(COUNTIF($A$5:$A$104,A64)&gt;1,"工单ID重复",IF(B64="","缺少门店名称",IF(D64="","缺少优先级",IF(F64="","缺少推进进度","可用"))))))</x:f>
      </x:c>
    </x:row>
    <x:row r="65" ht="28" customHeight="1">
      <x:c r="A65" s="98"/>
      <x:c r="B65" s="25"/>
      <x:c r="C65" s="25"/>
      <x:c r="D65" s="25"/>
      <x:c r="E65" s="99"/>
      <x:c r="F65" s="25"/>
      <x:c r="G65" s="99"/>
      <x:c r="H65" s="100"/>
      <x:c r="I65" s="25" t="str">
        <x:f>IF(COUNTA(A65:H65)=0,"",IF(A65="","缺少工单ID",IF(COUNTIF($A$5:$A$104,A65)&gt;1,"工单ID重复",IF(B65="","缺少门店名称",IF(D65="","缺少优先级",IF(F65="","缺少推进进度","可用"))))))</x:f>
      </x:c>
    </x:row>
    <x:row r="66" ht="28" customHeight="1">
      <x:c r="A66" s="98"/>
      <x:c r="B66" s="25"/>
      <x:c r="C66" s="25"/>
      <x:c r="D66" s="25"/>
      <x:c r="E66" s="99"/>
      <x:c r="F66" s="25"/>
      <x:c r="G66" s="99"/>
      <x:c r="H66" s="100"/>
      <x:c r="I66" s="25" t="str">
        <x:f>IF(COUNTA(A66:H66)=0,"",IF(A66="","缺少工单ID",IF(COUNTIF($A$5:$A$104,A66)&gt;1,"工单ID重复",IF(B66="","缺少门店名称",IF(D66="","缺少优先级",IF(F66="","缺少推进进度","可用"))))))</x:f>
      </x:c>
    </x:row>
    <x:row r="67" ht="28" customHeight="1">
      <x:c r="A67" s="98"/>
      <x:c r="B67" s="25"/>
      <x:c r="C67" s="25"/>
      <x:c r="D67" s="25"/>
      <x:c r="E67" s="99"/>
      <x:c r="F67" s="25"/>
      <x:c r="G67" s="99"/>
      <x:c r="H67" s="100"/>
      <x:c r="I67" s="25" t="str">
        <x:f>IF(COUNTA(A67:H67)=0,"",IF(A67="","缺少工单ID",IF(COUNTIF($A$5:$A$104,A67)&gt;1,"工单ID重复",IF(B67="","缺少门店名称",IF(D67="","缺少优先级",IF(F67="","缺少推进进度","可用"))))))</x:f>
      </x:c>
    </x:row>
    <x:row r="68" ht="28" customHeight="1">
      <x:c r="A68" s="98"/>
      <x:c r="B68" s="25"/>
      <x:c r="C68" s="25"/>
      <x:c r="D68" s="25"/>
      <x:c r="E68" s="99"/>
      <x:c r="F68" s="25"/>
      <x:c r="G68" s="99"/>
      <x:c r="H68" s="100"/>
      <x:c r="I68" s="25" t="str">
        <x:f>IF(COUNTA(A68:H68)=0,"",IF(A68="","缺少工单ID",IF(COUNTIF($A$5:$A$104,A68)&gt;1,"工单ID重复",IF(B68="","缺少门店名称",IF(D68="","缺少优先级",IF(F68="","缺少推进进度","可用"))))))</x:f>
      </x:c>
    </x:row>
    <x:row r="69" ht="28" customHeight="1">
      <x:c r="A69" s="98"/>
      <x:c r="B69" s="25"/>
      <x:c r="C69" s="25"/>
      <x:c r="D69" s="25"/>
      <x:c r="E69" s="99"/>
      <x:c r="F69" s="25"/>
      <x:c r="G69" s="99"/>
      <x:c r="H69" s="100"/>
      <x:c r="I69" s="25" t="str">
        <x:f>IF(COUNTA(A69:H69)=0,"",IF(A69="","缺少工单ID",IF(COUNTIF($A$5:$A$104,A69)&gt;1,"工单ID重复",IF(B69="","缺少门店名称",IF(D69="","缺少优先级",IF(F69="","缺少推进进度","可用"))))))</x:f>
      </x:c>
    </x:row>
    <x:row r="70" ht="28" customHeight="1">
      <x:c r="A70" s="98"/>
      <x:c r="B70" s="25"/>
      <x:c r="C70" s="25"/>
      <x:c r="D70" s="25"/>
      <x:c r="E70" s="99"/>
      <x:c r="F70" s="25"/>
      <x:c r="G70" s="99"/>
      <x:c r="H70" s="100"/>
      <x:c r="I70" s="25" t="str">
        <x:f>IF(COUNTA(A70:H70)=0,"",IF(A70="","缺少工单ID",IF(COUNTIF($A$5:$A$104,A70)&gt;1,"工单ID重复",IF(B70="","缺少门店名称",IF(D70="","缺少优先级",IF(F70="","缺少推进进度","可用"))))))</x:f>
      </x:c>
    </x:row>
    <x:row r="71" ht="28" customHeight="1">
      <x:c r="A71" s="98"/>
      <x:c r="B71" s="25"/>
      <x:c r="C71" s="25"/>
      <x:c r="D71" s="25"/>
      <x:c r="E71" s="99"/>
      <x:c r="F71" s="25"/>
      <x:c r="G71" s="99"/>
      <x:c r="H71" s="100"/>
      <x:c r="I71" s="25" t="str">
        <x:f>IF(COUNTA(A71:H71)=0,"",IF(A71="","缺少工单ID",IF(COUNTIF($A$5:$A$104,A71)&gt;1,"工单ID重复",IF(B71="","缺少门店名称",IF(D71="","缺少优先级",IF(F71="","缺少推进进度","可用"))))))</x:f>
      </x:c>
    </x:row>
    <x:row r="72" ht="28" customHeight="1">
      <x:c r="A72" s="98"/>
      <x:c r="B72" s="25"/>
      <x:c r="C72" s="25"/>
      <x:c r="D72" s="25"/>
      <x:c r="E72" s="99"/>
      <x:c r="F72" s="25"/>
      <x:c r="G72" s="99"/>
      <x:c r="H72" s="100"/>
      <x:c r="I72" s="25" t="str">
        <x:f>IF(COUNTA(A72:H72)=0,"",IF(A72="","缺少工单ID",IF(COUNTIF($A$5:$A$104,A72)&gt;1,"工单ID重复",IF(B72="","缺少门店名称",IF(D72="","缺少优先级",IF(F72="","缺少推进进度","可用"))))))</x:f>
      </x:c>
    </x:row>
    <x:row r="73" ht="28" customHeight="1">
      <x:c r="A73" s="98"/>
      <x:c r="B73" s="25"/>
      <x:c r="C73" s="25"/>
      <x:c r="D73" s="25"/>
      <x:c r="E73" s="99"/>
      <x:c r="F73" s="25"/>
      <x:c r="G73" s="99"/>
      <x:c r="H73" s="100"/>
      <x:c r="I73" s="25" t="str">
        <x:f>IF(COUNTA(A73:H73)=0,"",IF(A73="","缺少工单ID",IF(COUNTIF($A$5:$A$104,A73)&gt;1,"工单ID重复",IF(B73="","缺少门店名称",IF(D73="","缺少优先级",IF(F73="","缺少推进进度","可用"))))))</x:f>
      </x:c>
    </x:row>
    <x:row r="74" ht="28" customHeight="1">
      <x:c r="A74" s="98"/>
      <x:c r="B74" s="25"/>
      <x:c r="C74" s="25"/>
      <x:c r="D74" s="25"/>
      <x:c r="E74" s="99"/>
      <x:c r="F74" s="25"/>
      <x:c r="G74" s="99"/>
      <x:c r="H74" s="100"/>
      <x:c r="I74" s="25" t="str">
        <x:f>IF(COUNTA(A74:H74)=0,"",IF(A74="","缺少工单ID",IF(COUNTIF($A$5:$A$104,A74)&gt;1,"工单ID重复",IF(B74="","缺少门店名称",IF(D74="","缺少优先级",IF(F74="","缺少推进进度","可用"))))))</x:f>
      </x:c>
    </x:row>
    <x:row r="75" ht="28" customHeight="1">
      <x:c r="A75" s="98"/>
      <x:c r="B75" s="25"/>
      <x:c r="C75" s="25"/>
      <x:c r="D75" s="25"/>
      <x:c r="E75" s="99"/>
      <x:c r="F75" s="25"/>
      <x:c r="G75" s="99"/>
      <x:c r="H75" s="100"/>
      <x:c r="I75" s="25" t="str">
        <x:f>IF(COUNTA(A75:H75)=0,"",IF(A75="","缺少工单ID",IF(COUNTIF($A$5:$A$104,A75)&gt;1,"工单ID重复",IF(B75="","缺少门店名称",IF(D75="","缺少优先级",IF(F75="","缺少推进进度","可用"))))))</x:f>
      </x:c>
    </x:row>
    <x:row r="76" ht="28" customHeight="1">
      <x:c r="A76" s="98"/>
      <x:c r="B76" s="25"/>
      <x:c r="C76" s="25"/>
      <x:c r="D76" s="25"/>
      <x:c r="E76" s="99"/>
      <x:c r="F76" s="25"/>
      <x:c r="G76" s="99"/>
      <x:c r="H76" s="100"/>
      <x:c r="I76" s="25" t="str">
        <x:f>IF(COUNTA(A76:H76)=0,"",IF(A76="","缺少工单ID",IF(COUNTIF($A$5:$A$104,A76)&gt;1,"工单ID重复",IF(B76="","缺少门店名称",IF(D76="","缺少优先级",IF(F76="","缺少推进进度","可用"))))))</x:f>
      </x:c>
    </x:row>
    <x:row r="77" ht="28" customHeight="1">
      <x:c r="A77" s="98"/>
      <x:c r="B77" s="25"/>
      <x:c r="C77" s="25"/>
      <x:c r="D77" s="25"/>
      <x:c r="E77" s="99"/>
      <x:c r="F77" s="25"/>
      <x:c r="G77" s="99"/>
      <x:c r="H77" s="100"/>
      <x:c r="I77" s="25" t="str">
        <x:f>IF(COUNTA(A77:H77)=0,"",IF(A77="","缺少工单ID",IF(COUNTIF($A$5:$A$104,A77)&gt;1,"工单ID重复",IF(B77="","缺少门店名称",IF(D77="","缺少优先级",IF(F77="","缺少推进进度","可用"))))))</x:f>
      </x:c>
    </x:row>
    <x:row r="78" ht="28" customHeight="1">
      <x:c r="A78" s="98"/>
      <x:c r="B78" s="25"/>
      <x:c r="C78" s="25"/>
      <x:c r="D78" s="25"/>
      <x:c r="E78" s="99"/>
      <x:c r="F78" s="25"/>
      <x:c r="G78" s="99"/>
      <x:c r="H78" s="100"/>
      <x:c r="I78" s="25" t="str">
        <x:f>IF(COUNTA(A78:H78)=0,"",IF(A78="","缺少工单ID",IF(COUNTIF($A$5:$A$104,A78)&gt;1,"工单ID重复",IF(B78="","缺少门店名称",IF(D78="","缺少优先级",IF(F78="","缺少推进进度","可用"))))))</x:f>
      </x:c>
    </x:row>
    <x:row r="79" ht="28" customHeight="1">
      <x:c r="A79" s="98"/>
      <x:c r="B79" s="25"/>
      <x:c r="C79" s="25"/>
      <x:c r="D79" s="25"/>
      <x:c r="E79" s="99"/>
      <x:c r="F79" s="25"/>
      <x:c r="G79" s="99"/>
      <x:c r="H79" s="100"/>
      <x:c r="I79" s="25" t="str">
        <x:f>IF(COUNTA(A79:H79)=0,"",IF(A79="","缺少工单ID",IF(COUNTIF($A$5:$A$104,A79)&gt;1,"工单ID重复",IF(B79="","缺少门店名称",IF(D79="","缺少优先级",IF(F79="","缺少推进进度","可用"))))))</x:f>
      </x:c>
    </x:row>
    <x:row r="80" ht="28" customHeight="1">
      <x:c r="A80" s="98"/>
      <x:c r="B80" s="25"/>
      <x:c r="C80" s="25"/>
      <x:c r="D80" s="25"/>
      <x:c r="E80" s="99"/>
      <x:c r="F80" s="25"/>
      <x:c r="G80" s="99"/>
      <x:c r="H80" s="100"/>
      <x:c r="I80" s="25" t="str">
        <x:f>IF(COUNTA(A80:H80)=0,"",IF(A80="","缺少工单ID",IF(COUNTIF($A$5:$A$104,A80)&gt;1,"工单ID重复",IF(B80="","缺少门店名称",IF(D80="","缺少优先级",IF(F80="","缺少推进进度","可用"))))))</x:f>
      </x:c>
    </x:row>
    <x:row r="81" ht="28" customHeight="1">
      <x:c r="A81" s="98"/>
      <x:c r="B81" s="25"/>
      <x:c r="C81" s="25"/>
      <x:c r="D81" s="25"/>
      <x:c r="E81" s="99"/>
      <x:c r="F81" s="25"/>
      <x:c r="G81" s="99"/>
      <x:c r="H81" s="100"/>
      <x:c r="I81" s="25" t="str">
        <x:f>IF(COUNTA(A81:H81)=0,"",IF(A81="","缺少工单ID",IF(COUNTIF($A$5:$A$104,A81)&gt;1,"工单ID重复",IF(B81="","缺少门店名称",IF(D81="","缺少优先级",IF(F81="","缺少推进进度","可用"))))))</x:f>
      </x:c>
    </x:row>
    <x:row r="82" ht="28" customHeight="1">
      <x:c r="A82" s="98"/>
      <x:c r="B82" s="25"/>
      <x:c r="C82" s="25"/>
      <x:c r="D82" s="25"/>
      <x:c r="E82" s="99"/>
      <x:c r="F82" s="25"/>
      <x:c r="G82" s="99"/>
      <x:c r="H82" s="100"/>
      <x:c r="I82" s="25" t="str">
        <x:f>IF(COUNTA(A82:H82)=0,"",IF(A82="","缺少工单ID",IF(COUNTIF($A$5:$A$104,A82)&gt;1,"工单ID重复",IF(B82="","缺少门店名称",IF(D82="","缺少优先级",IF(F82="","缺少推进进度","可用"))))))</x:f>
      </x:c>
    </x:row>
    <x:row r="83" ht="28" customHeight="1">
      <x:c r="A83" s="98"/>
      <x:c r="B83" s="25"/>
      <x:c r="C83" s="25"/>
      <x:c r="D83" s="25"/>
      <x:c r="E83" s="99"/>
      <x:c r="F83" s="25"/>
      <x:c r="G83" s="99"/>
      <x:c r="H83" s="100"/>
      <x:c r="I83" s="25" t="str">
        <x:f>IF(COUNTA(A83:H83)=0,"",IF(A83="","缺少工单ID",IF(COUNTIF($A$5:$A$104,A83)&gt;1,"工单ID重复",IF(B83="","缺少门店名称",IF(D83="","缺少优先级",IF(F83="","缺少推进进度","可用"))))))</x:f>
      </x:c>
    </x:row>
    <x:row r="84" ht="28" customHeight="1">
      <x:c r="A84" s="98"/>
      <x:c r="B84" s="25"/>
      <x:c r="C84" s="25"/>
      <x:c r="D84" s="25"/>
      <x:c r="E84" s="99"/>
      <x:c r="F84" s="25"/>
      <x:c r="G84" s="99"/>
      <x:c r="H84" s="100"/>
      <x:c r="I84" s="25" t="str">
        <x:f>IF(COUNTA(A84:H84)=0,"",IF(A84="","缺少工单ID",IF(COUNTIF($A$5:$A$104,A84)&gt;1,"工单ID重复",IF(B84="","缺少门店名称",IF(D84="","缺少优先级",IF(F84="","缺少推进进度","可用"))))))</x:f>
      </x:c>
    </x:row>
    <x:row r="85" ht="28" customHeight="1">
      <x:c r="A85" s="98"/>
      <x:c r="B85" s="25"/>
      <x:c r="C85" s="25"/>
      <x:c r="D85" s="25"/>
      <x:c r="E85" s="99"/>
      <x:c r="F85" s="25"/>
      <x:c r="G85" s="99"/>
      <x:c r="H85" s="100"/>
      <x:c r="I85" s="25" t="str">
        <x:f>IF(COUNTA(A85:H85)=0,"",IF(A85="","缺少工单ID",IF(COUNTIF($A$5:$A$104,A85)&gt;1,"工单ID重复",IF(B85="","缺少门店名称",IF(D85="","缺少优先级",IF(F85="","缺少推进进度","可用"))))))</x:f>
      </x:c>
    </x:row>
    <x:row r="86" ht="28" customHeight="1">
      <x:c r="A86" s="98"/>
      <x:c r="B86" s="25"/>
      <x:c r="C86" s="25"/>
      <x:c r="D86" s="25"/>
      <x:c r="E86" s="99"/>
      <x:c r="F86" s="25"/>
      <x:c r="G86" s="99"/>
      <x:c r="H86" s="100"/>
      <x:c r="I86" s="25" t="str">
        <x:f>IF(COUNTA(A86:H86)=0,"",IF(A86="","缺少工单ID",IF(COUNTIF($A$5:$A$104,A86)&gt;1,"工单ID重复",IF(B86="","缺少门店名称",IF(D86="","缺少优先级",IF(F86="","缺少推进进度","可用"))))))</x:f>
      </x:c>
    </x:row>
    <x:row r="87" ht="28" customHeight="1">
      <x:c r="A87" s="98"/>
      <x:c r="B87" s="25"/>
      <x:c r="C87" s="25"/>
      <x:c r="D87" s="25"/>
      <x:c r="E87" s="99"/>
      <x:c r="F87" s="25"/>
      <x:c r="G87" s="99"/>
      <x:c r="H87" s="100"/>
      <x:c r="I87" s="25" t="str">
        <x:f>IF(COUNTA(A87:H87)=0,"",IF(A87="","缺少工单ID",IF(COUNTIF($A$5:$A$104,A87)&gt;1,"工单ID重复",IF(B87="","缺少门店名称",IF(D87="","缺少优先级",IF(F87="","缺少推进进度","可用"))))))</x:f>
      </x:c>
    </x:row>
    <x:row r="88" ht="28" customHeight="1">
      <x:c r="A88" s="98"/>
      <x:c r="B88" s="25"/>
      <x:c r="C88" s="25"/>
      <x:c r="D88" s="25"/>
      <x:c r="E88" s="99"/>
      <x:c r="F88" s="25"/>
      <x:c r="G88" s="99"/>
      <x:c r="H88" s="100"/>
      <x:c r="I88" s="25" t="str">
        <x:f>IF(COUNTA(A88:H88)=0,"",IF(A88="","缺少工单ID",IF(COUNTIF($A$5:$A$104,A88)&gt;1,"工单ID重复",IF(B88="","缺少门店名称",IF(D88="","缺少优先级",IF(F88="","缺少推进进度","可用"))))))</x:f>
      </x:c>
    </x:row>
    <x:row r="89" ht="28" customHeight="1">
      <x:c r="A89" s="98"/>
      <x:c r="B89" s="25"/>
      <x:c r="C89" s="25"/>
      <x:c r="D89" s="25"/>
      <x:c r="E89" s="99"/>
      <x:c r="F89" s="25"/>
      <x:c r="G89" s="99"/>
      <x:c r="H89" s="100"/>
      <x:c r="I89" s="25" t="str">
        <x:f>IF(COUNTA(A89:H89)=0,"",IF(A89="","缺少工单ID",IF(COUNTIF($A$5:$A$104,A89)&gt;1,"工单ID重复",IF(B89="","缺少门店名称",IF(D89="","缺少优先级",IF(F89="","缺少推进进度","可用"))))))</x:f>
      </x:c>
    </x:row>
    <x:row r="90" ht="28" customHeight="1">
      <x:c r="A90" s="98"/>
      <x:c r="B90" s="25"/>
      <x:c r="C90" s="25"/>
      <x:c r="D90" s="25"/>
      <x:c r="E90" s="99"/>
      <x:c r="F90" s="25"/>
      <x:c r="G90" s="99"/>
      <x:c r="H90" s="100"/>
      <x:c r="I90" s="25" t="str">
        <x:f>IF(COUNTA(A90:H90)=0,"",IF(A90="","缺少工单ID",IF(COUNTIF($A$5:$A$104,A90)&gt;1,"工单ID重复",IF(B90="","缺少门店名称",IF(D90="","缺少优先级",IF(F90="","缺少推进进度","可用"))))))</x:f>
      </x:c>
    </x:row>
    <x:row r="91" ht="28" customHeight="1">
      <x:c r="A91" s="98"/>
      <x:c r="B91" s="25"/>
      <x:c r="C91" s="25"/>
      <x:c r="D91" s="25"/>
      <x:c r="E91" s="99"/>
      <x:c r="F91" s="25"/>
      <x:c r="G91" s="99"/>
      <x:c r="H91" s="100"/>
      <x:c r="I91" s="25" t="str">
        <x:f>IF(COUNTA(A91:H91)=0,"",IF(A91="","缺少工单ID",IF(COUNTIF($A$5:$A$104,A91)&gt;1,"工单ID重复",IF(B91="","缺少门店名称",IF(D91="","缺少优先级",IF(F91="","缺少推进进度","可用"))))))</x:f>
      </x:c>
    </x:row>
    <x:row r="92" ht="28" customHeight="1">
      <x:c r="A92" s="98"/>
      <x:c r="B92" s="25"/>
      <x:c r="C92" s="25"/>
      <x:c r="D92" s="25"/>
      <x:c r="E92" s="99"/>
      <x:c r="F92" s="25"/>
      <x:c r="G92" s="99"/>
      <x:c r="H92" s="100"/>
      <x:c r="I92" s="25" t="str">
        <x:f>IF(COUNTA(A92:H92)=0,"",IF(A92="","缺少工单ID",IF(COUNTIF($A$5:$A$104,A92)&gt;1,"工单ID重复",IF(B92="","缺少门店名称",IF(D92="","缺少优先级",IF(F92="","缺少推进进度","可用"))))))</x:f>
      </x:c>
    </x:row>
    <x:row r="93" ht="28" customHeight="1">
      <x:c r="A93" s="98"/>
      <x:c r="B93" s="25"/>
      <x:c r="C93" s="25"/>
      <x:c r="D93" s="25"/>
      <x:c r="E93" s="99"/>
      <x:c r="F93" s="25"/>
      <x:c r="G93" s="99"/>
      <x:c r="H93" s="100"/>
      <x:c r="I93" s="25" t="str">
        <x:f>IF(COUNTA(A93:H93)=0,"",IF(A93="","缺少工单ID",IF(COUNTIF($A$5:$A$104,A93)&gt;1,"工单ID重复",IF(B93="","缺少门店名称",IF(D93="","缺少优先级",IF(F93="","缺少推进进度","可用"))))))</x:f>
      </x:c>
    </x:row>
    <x:row r="94" ht="28" customHeight="1">
      <x:c r="A94" s="98"/>
      <x:c r="B94" s="25"/>
      <x:c r="C94" s="25"/>
      <x:c r="D94" s="25"/>
      <x:c r="E94" s="99"/>
      <x:c r="F94" s="25"/>
      <x:c r="G94" s="99"/>
      <x:c r="H94" s="100"/>
      <x:c r="I94" s="25" t="str">
        <x:f>IF(COUNTA(A94:H94)=0,"",IF(A94="","缺少工单ID",IF(COUNTIF($A$5:$A$104,A94)&gt;1,"工单ID重复",IF(B94="","缺少门店名称",IF(D94="","缺少优先级",IF(F94="","缺少推进进度","可用"))))))</x:f>
      </x:c>
    </x:row>
    <x:row r="95" ht="28" customHeight="1">
      <x:c r="A95" s="98"/>
      <x:c r="B95" s="25"/>
      <x:c r="C95" s="25"/>
      <x:c r="D95" s="25"/>
      <x:c r="E95" s="99"/>
      <x:c r="F95" s="25"/>
      <x:c r="G95" s="99"/>
      <x:c r="H95" s="100"/>
      <x:c r="I95" s="25" t="str">
        <x:f>IF(COUNTA(A95:H95)=0,"",IF(A95="","缺少工单ID",IF(COUNTIF($A$5:$A$104,A95)&gt;1,"工单ID重复",IF(B95="","缺少门店名称",IF(D95="","缺少优先级",IF(F95="","缺少推进进度","可用"))))))</x:f>
      </x:c>
    </x:row>
    <x:row r="96" ht="28" customHeight="1">
      <x:c r="A96" s="98"/>
      <x:c r="B96" s="25"/>
      <x:c r="C96" s="25"/>
      <x:c r="D96" s="25"/>
      <x:c r="E96" s="99"/>
      <x:c r="F96" s="25"/>
      <x:c r="G96" s="99"/>
      <x:c r="H96" s="100"/>
      <x:c r="I96" s="25" t="str">
        <x:f>IF(COUNTA(A96:H96)=0,"",IF(A96="","缺少工单ID",IF(COUNTIF($A$5:$A$104,A96)&gt;1,"工单ID重复",IF(B96="","缺少门店名称",IF(D96="","缺少优先级",IF(F96="","缺少推进进度","可用"))))))</x:f>
      </x:c>
    </x:row>
    <x:row r="97" ht="28" customHeight="1">
      <x:c r="A97" s="98"/>
      <x:c r="B97" s="25"/>
      <x:c r="C97" s="25"/>
      <x:c r="D97" s="25"/>
      <x:c r="E97" s="99"/>
      <x:c r="F97" s="25"/>
      <x:c r="G97" s="99"/>
      <x:c r="H97" s="100"/>
      <x:c r="I97" s="25" t="str">
        <x:f>IF(COUNTA(A97:H97)=0,"",IF(A97="","缺少工单ID",IF(COUNTIF($A$5:$A$104,A97)&gt;1,"工单ID重复",IF(B97="","缺少门店名称",IF(D97="","缺少优先级",IF(F97="","缺少推进进度","可用"))))))</x:f>
      </x:c>
    </x:row>
    <x:row r="98" ht="28" customHeight="1">
      <x:c r="A98" s="98"/>
      <x:c r="B98" s="25"/>
      <x:c r="C98" s="25"/>
      <x:c r="D98" s="25"/>
      <x:c r="E98" s="99"/>
      <x:c r="F98" s="25"/>
      <x:c r="G98" s="99"/>
      <x:c r="H98" s="100"/>
      <x:c r="I98" s="25" t="str">
        <x:f>IF(COUNTA(A98:H98)=0,"",IF(A98="","缺少工单ID",IF(COUNTIF($A$5:$A$104,A98)&gt;1,"工单ID重复",IF(B98="","缺少门店名称",IF(D98="","缺少优先级",IF(F98="","缺少推进进度","可用"))))))</x:f>
      </x:c>
    </x:row>
    <x:row r="99" ht="28" customHeight="1">
      <x:c r="A99" s="98"/>
      <x:c r="B99" s="25"/>
      <x:c r="C99" s="25"/>
      <x:c r="D99" s="25"/>
      <x:c r="E99" s="99"/>
      <x:c r="F99" s="25"/>
      <x:c r="G99" s="99"/>
      <x:c r="H99" s="100"/>
      <x:c r="I99" s="25" t="str">
        <x:f>IF(COUNTA(A99:H99)=0,"",IF(A99="","缺少工单ID",IF(COUNTIF($A$5:$A$104,A99)&gt;1,"工单ID重复",IF(B99="","缺少门店名称",IF(D99="","缺少优先级",IF(F99="","缺少推进进度","可用"))))))</x:f>
      </x:c>
    </x:row>
    <x:row r="100" ht="28" customHeight="1">
      <x:c r="A100" s="98"/>
      <x:c r="B100" s="25"/>
      <x:c r="C100" s="25"/>
      <x:c r="D100" s="25"/>
      <x:c r="E100" s="99"/>
      <x:c r="F100" s="25"/>
      <x:c r="G100" s="99"/>
      <x:c r="H100" s="100"/>
      <x:c r="I100" s="25" t="str">
        <x:f>IF(COUNTA(A100:H100)=0,"",IF(A100="","缺少工单ID",IF(COUNTIF($A$5:$A$104,A100)&gt;1,"工单ID重复",IF(B100="","缺少门店名称",IF(D100="","缺少优先级",IF(F100="","缺少推进进度","可用"))))))</x:f>
      </x:c>
    </x:row>
    <x:row r="101" ht="28" customHeight="1">
      <x:c r="A101" s="98"/>
      <x:c r="B101" s="25"/>
      <x:c r="C101" s="25"/>
      <x:c r="D101" s="25"/>
      <x:c r="E101" s="99"/>
      <x:c r="F101" s="25"/>
      <x:c r="G101" s="99"/>
      <x:c r="H101" s="100"/>
      <x:c r="I101" s="25" t="str">
        <x:f>IF(COUNTA(A101:H101)=0,"",IF(A101="","缺少工单ID",IF(COUNTIF($A$5:$A$104,A101)&gt;1,"工单ID重复",IF(B101="","缺少门店名称",IF(D101="","缺少优先级",IF(F101="","缺少推进进度","可用"))))))</x:f>
      </x:c>
    </x:row>
    <x:row r="102" ht="28" customHeight="1">
      <x:c r="A102" s="98"/>
      <x:c r="B102" s="25"/>
      <x:c r="C102" s="25"/>
      <x:c r="D102" s="25"/>
      <x:c r="E102" s="99"/>
      <x:c r="F102" s="25"/>
      <x:c r="G102" s="99"/>
      <x:c r="H102" s="100"/>
      <x:c r="I102" s="25" t="str">
        <x:f>IF(COUNTA(A102:H102)=0,"",IF(A102="","缺少工单ID",IF(COUNTIF($A$5:$A$104,A102)&gt;1,"工单ID重复",IF(B102="","缺少门店名称",IF(D102="","缺少优先级",IF(F102="","缺少推进进度","可用"))))))</x:f>
      </x:c>
    </x:row>
    <x:row r="103" ht="28" customHeight="1">
      <x:c r="A103" s="98"/>
      <x:c r="B103" s="25"/>
      <x:c r="C103" s="25"/>
      <x:c r="D103" s="25"/>
      <x:c r="E103" s="99"/>
      <x:c r="F103" s="25"/>
      <x:c r="G103" s="99"/>
      <x:c r="H103" s="100"/>
      <x:c r="I103" s="25" t="str">
        <x:f>IF(COUNTA(A103:H103)=0,"",IF(A103="","缺少工单ID",IF(COUNTIF($A$5:$A$104,A103)&gt;1,"工单ID重复",IF(B103="","缺少门店名称",IF(D103="","缺少优先级",IF(F103="","缺少推进进度","可用"))))))</x:f>
      </x:c>
    </x:row>
    <x:row r="104" ht="28" customHeight="1">
      <x:c r="A104" s="98"/>
      <x:c r="B104" s="25"/>
      <x:c r="C104" s="25"/>
      <x:c r="D104" s="25"/>
      <x:c r="E104" s="99"/>
      <x:c r="F104" s="25"/>
      <x:c r="G104" s="99"/>
      <x:c r="H104" s="100"/>
      <x:c r="I104" s="25" t="str">
        <x:f>IF(COUNTA(A104:H104)=0,"",IF(A104="","缺少工单ID",IF(COUNTIF($A$5:$A$104,A104)&gt;1,"工单ID重复",IF(B104="","缺少门店名称",IF(D104="","缺少优先级",IF(F104="","缺少推进进度","可用"))))))</x:f>
      </x:c>
    </x:row>
  </x:sheetData>
  <x:mergeCells>
    <x:mergeCell ref="A1:I1"/>
    <x:mergeCell ref="A2:I2"/>
    <x:mergeCell ref="A3:I3"/>
  </x:mergeCells>
  <x:conditionalFormatting sqref="I5:I104">
    <x:cfRule type="containsText" dxfId="0" priority="1" operator="containsText" text="可用"/>
    <x:cfRule type="containsText" dxfId="1" priority="2" operator="containsText" text="缺少"/>
    <x:cfRule type="containsText" dxfId="2" priority="3" operator="containsText" text="重复"/>
  </x:conditionalFormatting>
  <x:dataValidations count="2">
    <x:dataValidation type="list" sqref="D5:D104">
      <x:formula1>"P0,P1,P2"</x:formula1>
    </x:dataValidation>
    <x:dataValidation type="list" sqref="F5:F104">
      <x:formula1>"未开始,跟进中,阶段性完成,已完结"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20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22" hidden="0" customWidth="1"/>
  </x:cols>
  <x:sheetData>
    <x:row r="1" ht="34" customHeight="1">
      <x:c r="A1" s="4" t="str">
        <x:v>跟进记录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8" t="str">
        <x:v>每行一条历史记录，通过“所属工单 ID”关联工单；转换后记录会嵌套进对应工单的 followUps[]。橙色第 5 行为示例。 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34" customHeight="1">
      <x:c r="A3" s="66" t="str">
        <x:v>填写提示：所属工单 ID 必须在“工单”表中存在；记录类型请使用下拉选项；记录时间建议填写 ISO 8601。</x:v>
      </x:c>
      <x:c r="B3" s="66"/>
      <x:c r="C3" s="66"/>
      <x:c r="D3" s="66"/>
      <x:c r="E3" s="66"/>
      <x:c r="F3" s="66"/>
      <x:c r="G3" s="66"/>
      <x:c r="H3" s="66"/>
      <x:c r="I3" s="66"/>
      <x:c r="J3" s="66"/>
    </x:row>
    <x:row r="4" ht="28" customHeight="1">
      <x:c r="A4" s="44" t="str">
        <x:v>跟进 ID（id）*</x:v>
      </x:c>
      <x:c r="B4" s="44" t="str">
        <x:v>所属工单 ID *</x:v>
      </x:c>
      <x:c r="C4" s="44" t="str">
        <x:v>记录类型（type）*</x:v>
      </x:c>
      <x:c r="D4" s="44" t="str">
        <x:v>跟进内容（content）*</x:v>
      </x:c>
      <x:c r="E4" s="44" t="str">
        <x:v>原状态（fromProgress）</x:v>
      </x:c>
      <x:c r="F4" s="44" t="str">
        <x:v>新状态（toProgress）</x:v>
      </x:c>
      <x:c r="G4" s="44" t="str">
        <x:v>操作人 ID（authorId）</x:v>
      </x:c>
      <x:c r="H4" s="44" t="str">
        <x:v>操作人姓名（authorName）</x:v>
      </x:c>
      <x:c r="I4" s="44" t="str">
        <x:v>记录时间（createdAt）</x:v>
      </x:c>
      <x:c r="J4" s="44" t="str">
        <x:v>填写检查</x:v>
      </x:c>
    </x:row>
    <x:row r="5" ht="28" customHeight="1">
      <x:c r="A5" s="94" t="str">
        <x:v>FU-0001</x:v>
      </x:c>
      <x:c r="B5" s="94" t="str">
        <x:v>ISS-0001</x:v>
      </x:c>
      <x:c r="C5" s="95" t="str">
        <x:v>follow_up</x:v>
      </x:c>
      <x:c r="D5" s="95" t="str">
        <x:v>已联系门店，技术正在排查</x:v>
      </x:c>
      <x:c r="E5" s="95" t="str">
        <x:v>未开始</x:v>
      </x:c>
      <x:c r="F5" s="95" t="str">
        <x:v>跟进中</x:v>
      </x:c>
      <x:c r="G5" s="94" t="str">
        <x:v>USER-001</x:v>
      </x:c>
      <x:c r="H5" s="95" t="str">
        <x:v>冯经理</x:v>
      </x:c>
      <x:c r="I5" s="97" t="n">
        <x:f>"2026-08-07T01:30:00.000Z"</x:f>
        <x:v>46241.0625</x:v>
      </x:c>
      <x:c r="J5" s="95" t="str">
        <x:f>IF(COUNTA(A5:I5)=0,"",IF(A5="","缺少跟进ID",IF(COUNTIF($A$5:$A$104,A5)&gt;1,"跟进ID重复",IF(B5="","缺少所属工单ID",IF(COUNTIF('工单'!$A$5:$A$104,B5)=0,"所属工单ID不存在",IF(C5="","缺少记录类型",IF(D5="","缺少跟进内容","可用")))))))</x:f>
        <x:v>可用</x:v>
      </x:c>
    </x:row>
    <x:row r="6" ht="28" customHeight="1">
      <x:c r="A6" s="98"/>
      <x:c r="B6" s="98"/>
      <x:c r="C6" s="25"/>
      <x:c r="D6" s="25"/>
      <x:c r="E6" s="25"/>
      <x:c r="F6" s="25"/>
      <x:c r="G6" s="98"/>
      <x:c r="H6" s="25"/>
      <x:c r="I6" s="100"/>
      <x:c r="J6" s="25" t="str">
        <x:f>IF(COUNTA(A6:I6)=0,"",IF(A6="","缺少跟进ID",IF(COUNTIF($A$5:$A$104,A6)&gt;1,"跟进ID重复",IF(B6="","缺少所属工单ID",IF(COUNTIF('工单'!$A$5:$A$104,B6)=0,"所属工单ID不存在",IF(C6="","缺少记录类型",IF(D6="","缺少跟进内容","可用")))))))</x:f>
      </x:c>
    </x:row>
    <x:row r="7" ht="28" customHeight="1">
      <x:c r="A7" s="98"/>
      <x:c r="B7" s="98"/>
      <x:c r="C7" s="25"/>
      <x:c r="D7" s="25"/>
      <x:c r="E7" s="25"/>
      <x:c r="F7" s="25"/>
      <x:c r="G7" s="98"/>
      <x:c r="H7" s="25"/>
      <x:c r="I7" s="100"/>
      <x:c r="J7" s="25" t="str">
        <x:f>IF(COUNTA(A7:I7)=0,"",IF(A7="","缺少跟进ID",IF(COUNTIF($A$5:$A$104,A7)&gt;1,"跟进ID重复",IF(B7="","缺少所属工单ID",IF(COUNTIF('工单'!$A$5:$A$104,B7)=0,"所属工单ID不存在",IF(C7="","缺少记录类型",IF(D7="","缺少跟进内容","可用")))))))</x:f>
      </x:c>
    </x:row>
    <x:row r="8" ht="28" customHeight="1">
      <x:c r="A8" s="98"/>
      <x:c r="B8" s="98"/>
      <x:c r="C8" s="25"/>
      <x:c r="D8" s="25"/>
      <x:c r="E8" s="25"/>
      <x:c r="F8" s="25"/>
      <x:c r="G8" s="98"/>
      <x:c r="H8" s="25"/>
      <x:c r="I8" s="100"/>
      <x:c r="J8" s="25" t="str">
        <x:f>IF(COUNTA(A8:I8)=0,"",IF(A8="","缺少跟进ID",IF(COUNTIF($A$5:$A$104,A8)&gt;1,"跟进ID重复",IF(B8="","缺少所属工单ID",IF(COUNTIF('工单'!$A$5:$A$104,B8)=0,"所属工单ID不存在",IF(C8="","缺少记录类型",IF(D8="","缺少跟进内容","可用")))))))</x:f>
      </x:c>
    </x:row>
    <x:row r="9" ht="28" customHeight="1">
      <x:c r="A9" s="98"/>
      <x:c r="B9" s="98"/>
      <x:c r="C9" s="25"/>
      <x:c r="D9" s="25"/>
      <x:c r="E9" s="25"/>
      <x:c r="F9" s="25"/>
      <x:c r="G9" s="98"/>
      <x:c r="H9" s="25"/>
      <x:c r="I9" s="100"/>
      <x:c r="J9" s="25" t="str">
        <x:f>IF(COUNTA(A9:I9)=0,"",IF(A9="","缺少跟进ID",IF(COUNTIF($A$5:$A$104,A9)&gt;1,"跟进ID重复",IF(B9="","缺少所属工单ID",IF(COUNTIF('工单'!$A$5:$A$104,B9)=0,"所属工单ID不存在",IF(C9="","缺少记录类型",IF(D9="","缺少跟进内容","可用")))))))</x:f>
      </x:c>
    </x:row>
    <x:row r="10" ht="28" customHeight="1">
      <x:c r="A10" s="98"/>
      <x:c r="B10" s="98"/>
      <x:c r="C10" s="25"/>
      <x:c r="D10" s="25"/>
      <x:c r="E10" s="25"/>
      <x:c r="F10" s="25"/>
      <x:c r="G10" s="98"/>
      <x:c r="H10" s="25"/>
      <x:c r="I10" s="100"/>
      <x:c r="J10" s="25" t="str">
        <x:f>IF(COUNTA(A10:I10)=0,"",IF(A10="","缺少跟进ID",IF(COUNTIF($A$5:$A$104,A10)&gt;1,"跟进ID重复",IF(B10="","缺少所属工单ID",IF(COUNTIF('工单'!$A$5:$A$104,B10)=0,"所属工单ID不存在",IF(C10="","缺少记录类型",IF(D10="","缺少跟进内容","可用")))))))</x:f>
      </x:c>
    </x:row>
    <x:row r="11" ht="28" customHeight="1">
      <x:c r="A11" s="98"/>
      <x:c r="B11" s="98"/>
      <x:c r="C11" s="25"/>
      <x:c r="D11" s="25"/>
      <x:c r="E11" s="25"/>
      <x:c r="F11" s="25"/>
      <x:c r="G11" s="98"/>
      <x:c r="H11" s="25"/>
      <x:c r="I11" s="100"/>
      <x:c r="J11" s="25" t="str">
        <x:f>IF(COUNTA(A11:I11)=0,"",IF(A11="","缺少跟进ID",IF(COUNTIF($A$5:$A$104,A11)&gt;1,"跟进ID重复",IF(B11="","缺少所属工单ID",IF(COUNTIF('工单'!$A$5:$A$104,B11)=0,"所属工单ID不存在",IF(C11="","缺少记录类型",IF(D11="","缺少跟进内容","可用")))))))</x:f>
      </x:c>
    </x:row>
    <x:row r="12" ht="28" customHeight="1">
      <x:c r="A12" s="98"/>
      <x:c r="B12" s="98"/>
      <x:c r="C12" s="25"/>
      <x:c r="D12" s="25"/>
      <x:c r="E12" s="25"/>
      <x:c r="F12" s="25"/>
      <x:c r="G12" s="98"/>
      <x:c r="H12" s="25"/>
      <x:c r="I12" s="100"/>
      <x:c r="J12" s="25" t="str">
        <x:f>IF(COUNTA(A12:I12)=0,"",IF(A12="","缺少跟进ID",IF(COUNTIF($A$5:$A$104,A12)&gt;1,"跟进ID重复",IF(B12="","缺少所属工单ID",IF(COUNTIF('工单'!$A$5:$A$104,B12)=0,"所属工单ID不存在",IF(C12="","缺少记录类型",IF(D12="","缺少跟进内容","可用")))))))</x:f>
      </x:c>
    </x:row>
    <x:row r="13" ht="28" customHeight="1">
      <x:c r="A13" s="98"/>
      <x:c r="B13" s="98"/>
      <x:c r="C13" s="25"/>
      <x:c r="D13" s="25"/>
      <x:c r="E13" s="25"/>
      <x:c r="F13" s="25"/>
      <x:c r="G13" s="98"/>
      <x:c r="H13" s="25"/>
      <x:c r="I13" s="100"/>
      <x:c r="J13" s="25" t="str">
        <x:f>IF(COUNTA(A13:I13)=0,"",IF(A13="","缺少跟进ID",IF(COUNTIF($A$5:$A$104,A13)&gt;1,"跟进ID重复",IF(B13="","缺少所属工单ID",IF(COUNTIF('工单'!$A$5:$A$104,B13)=0,"所属工单ID不存在",IF(C13="","缺少记录类型",IF(D13="","缺少跟进内容","可用")))))))</x:f>
      </x:c>
    </x:row>
    <x:row r="14" ht="28" customHeight="1">
      <x:c r="A14" s="98"/>
      <x:c r="B14" s="98"/>
      <x:c r="C14" s="25"/>
      <x:c r="D14" s="25"/>
      <x:c r="E14" s="25"/>
      <x:c r="F14" s="25"/>
      <x:c r="G14" s="98"/>
      <x:c r="H14" s="25"/>
      <x:c r="I14" s="100"/>
      <x:c r="J14" s="25" t="str">
        <x:f>IF(COUNTA(A14:I14)=0,"",IF(A14="","缺少跟进ID",IF(COUNTIF($A$5:$A$104,A14)&gt;1,"跟进ID重复",IF(B14="","缺少所属工单ID",IF(COUNTIF('工单'!$A$5:$A$104,B14)=0,"所属工单ID不存在",IF(C14="","缺少记录类型",IF(D14="","缺少跟进内容","可用")))))))</x:f>
      </x:c>
    </x:row>
    <x:row r="15" ht="28" customHeight="1">
      <x:c r="A15" s="98"/>
      <x:c r="B15" s="98"/>
      <x:c r="C15" s="25"/>
      <x:c r="D15" s="25"/>
      <x:c r="E15" s="25"/>
      <x:c r="F15" s="25"/>
      <x:c r="G15" s="98"/>
      <x:c r="H15" s="25"/>
      <x:c r="I15" s="100"/>
      <x:c r="J15" s="25" t="str">
        <x:f>IF(COUNTA(A15:I15)=0,"",IF(A15="","缺少跟进ID",IF(COUNTIF($A$5:$A$104,A15)&gt;1,"跟进ID重复",IF(B15="","缺少所属工单ID",IF(COUNTIF('工单'!$A$5:$A$104,B15)=0,"所属工单ID不存在",IF(C15="","缺少记录类型",IF(D15="","缺少跟进内容","可用")))))))</x:f>
      </x:c>
    </x:row>
    <x:row r="16" ht="28" customHeight="1">
      <x:c r="A16" s="98"/>
      <x:c r="B16" s="98"/>
      <x:c r="C16" s="25"/>
      <x:c r="D16" s="25"/>
      <x:c r="E16" s="25"/>
      <x:c r="F16" s="25"/>
      <x:c r="G16" s="98"/>
      <x:c r="H16" s="25"/>
      <x:c r="I16" s="100"/>
      <x:c r="J16" s="25" t="str">
        <x:f>IF(COUNTA(A16:I16)=0,"",IF(A16="","缺少跟进ID",IF(COUNTIF($A$5:$A$104,A16)&gt;1,"跟进ID重复",IF(B16="","缺少所属工单ID",IF(COUNTIF('工单'!$A$5:$A$104,B16)=0,"所属工单ID不存在",IF(C16="","缺少记录类型",IF(D16="","缺少跟进内容","可用")))))))</x:f>
      </x:c>
    </x:row>
    <x:row r="17" ht="28" customHeight="1">
      <x:c r="A17" s="98"/>
      <x:c r="B17" s="98"/>
      <x:c r="C17" s="25"/>
      <x:c r="D17" s="25"/>
      <x:c r="E17" s="25"/>
      <x:c r="F17" s="25"/>
      <x:c r="G17" s="98"/>
      <x:c r="H17" s="25"/>
      <x:c r="I17" s="100"/>
      <x:c r="J17" s="25" t="str">
        <x:f>IF(COUNTA(A17:I17)=0,"",IF(A17="","缺少跟进ID",IF(COUNTIF($A$5:$A$104,A17)&gt;1,"跟进ID重复",IF(B17="","缺少所属工单ID",IF(COUNTIF('工单'!$A$5:$A$104,B17)=0,"所属工单ID不存在",IF(C17="","缺少记录类型",IF(D17="","缺少跟进内容","可用")))))))</x:f>
      </x:c>
    </x:row>
    <x:row r="18" ht="28" customHeight="1">
      <x:c r="A18" s="98"/>
      <x:c r="B18" s="98"/>
      <x:c r="C18" s="25"/>
      <x:c r="D18" s="25"/>
      <x:c r="E18" s="25"/>
      <x:c r="F18" s="25"/>
      <x:c r="G18" s="98"/>
      <x:c r="H18" s="25"/>
      <x:c r="I18" s="100"/>
      <x:c r="J18" s="25" t="str">
        <x:f>IF(COUNTA(A18:I18)=0,"",IF(A18="","缺少跟进ID",IF(COUNTIF($A$5:$A$104,A18)&gt;1,"跟进ID重复",IF(B18="","缺少所属工单ID",IF(COUNTIF('工单'!$A$5:$A$104,B18)=0,"所属工单ID不存在",IF(C18="","缺少记录类型",IF(D18="","缺少跟进内容","可用")))))))</x:f>
      </x:c>
    </x:row>
    <x:row r="19" ht="28" customHeight="1">
      <x:c r="A19" s="98"/>
      <x:c r="B19" s="98"/>
      <x:c r="C19" s="25"/>
      <x:c r="D19" s="25"/>
      <x:c r="E19" s="25"/>
      <x:c r="F19" s="25"/>
      <x:c r="G19" s="98"/>
      <x:c r="H19" s="25"/>
      <x:c r="I19" s="100"/>
      <x:c r="J19" s="25" t="str">
        <x:f>IF(COUNTA(A19:I19)=0,"",IF(A19="","缺少跟进ID",IF(COUNTIF($A$5:$A$104,A19)&gt;1,"跟进ID重复",IF(B19="","缺少所属工单ID",IF(COUNTIF('工单'!$A$5:$A$104,B19)=0,"所属工单ID不存在",IF(C19="","缺少记录类型",IF(D19="","缺少跟进内容","可用")))))))</x:f>
      </x:c>
    </x:row>
    <x:row r="20" ht="28" customHeight="1">
      <x:c r="A20" s="98"/>
      <x:c r="B20" s="98"/>
      <x:c r="C20" s="25"/>
      <x:c r="D20" s="25"/>
      <x:c r="E20" s="25"/>
      <x:c r="F20" s="25"/>
      <x:c r="G20" s="98"/>
      <x:c r="H20" s="25"/>
      <x:c r="I20" s="100"/>
      <x:c r="J20" s="25" t="str">
        <x:f>IF(COUNTA(A20:I20)=0,"",IF(A20="","缺少跟进ID",IF(COUNTIF($A$5:$A$104,A20)&gt;1,"跟进ID重复",IF(B20="","缺少所属工单ID",IF(COUNTIF('工单'!$A$5:$A$104,B20)=0,"所属工单ID不存在",IF(C20="","缺少记录类型",IF(D20="","缺少跟进内容","可用")))))))</x:f>
      </x:c>
    </x:row>
    <x:row r="21" ht="28" customHeight="1">
      <x:c r="A21" s="98"/>
      <x:c r="B21" s="98"/>
      <x:c r="C21" s="25"/>
      <x:c r="D21" s="25"/>
      <x:c r="E21" s="25"/>
      <x:c r="F21" s="25"/>
      <x:c r="G21" s="98"/>
      <x:c r="H21" s="25"/>
      <x:c r="I21" s="100"/>
      <x:c r="J21" s="25" t="str">
        <x:f>IF(COUNTA(A21:I21)=0,"",IF(A21="","缺少跟进ID",IF(COUNTIF($A$5:$A$104,A21)&gt;1,"跟进ID重复",IF(B21="","缺少所属工单ID",IF(COUNTIF('工单'!$A$5:$A$104,B21)=0,"所属工单ID不存在",IF(C21="","缺少记录类型",IF(D21="","缺少跟进内容","可用")))))))</x:f>
      </x:c>
    </x:row>
    <x:row r="22" ht="28" customHeight="1">
      <x:c r="A22" s="98"/>
      <x:c r="B22" s="98"/>
      <x:c r="C22" s="25"/>
      <x:c r="D22" s="25"/>
      <x:c r="E22" s="25"/>
      <x:c r="F22" s="25"/>
      <x:c r="G22" s="98"/>
      <x:c r="H22" s="25"/>
      <x:c r="I22" s="100"/>
      <x:c r="J22" s="25" t="str">
        <x:f>IF(COUNTA(A22:I22)=0,"",IF(A22="","缺少跟进ID",IF(COUNTIF($A$5:$A$104,A22)&gt;1,"跟进ID重复",IF(B22="","缺少所属工单ID",IF(COUNTIF('工单'!$A$5:$A$104,B22)=0,"所属工单ID不存在",IF(C22="","缺少记录类型",IF(D22="","缺少跟进内容","可用")))))))</x:f>
      </x:c>
    </x:row>
    <x:row r="23" ht="28" customHeight="1">
      <x:c r="A23" s="98"/>
      <x:c r="B23" s="98"/>
      <x:c r="C23" s="25"/>
      <x:c r="D23" s="25"/>
      <x:c r="E23" s="25"/>
      <x:c r="F23" s="25"/>
      <x:c r="G23" s="98"/>
      <x:c r="H23" s="25"/>
      <x:c r="I23" s="100"/>
      <x:c r="J23" s="25" t="str">
        <x:f>IF(COUNTA(A23:I23)=0,"",IF(A23="","缺少跟进ID",IF(COUNTIF($A$5:$A$104,A23)&gt;1,"跟进ID重复",IF(B23="","缺少所属工单ID",IF(COUNTIF('工单'!$A$5:$A$104,B23)=0,"所属工单ID不存在",IF(C23="","缺少记录类型",IF(D23="","缺少跟进内容","可用")))))))</x:f>
      </x:c>
    </x:row>
    <x:row r="24" ht="28" customHeight="1">
      <x:c r="A24" s="98"/>
      <x:c r="B24" s="98"/>
      <x:c r="C24" s="25"/>
      <x:c r="D24" s="25"/>
      <x:c r="E24" s="25"/>
      <x:c r="F24" s="25"/>
      <x:c r="G24" s="98"/>
      <x:c r="H24" s="25"/>
      <x:c r="I24" s="100"/>
      <x:c r="J24" s="25" t="str">
        <x:f>IF(COUNTA(A24:I24)=0,"",IF(A24="","缺少跟进ID",IF(COUNTIF($A$5:$A$104,A24)&gt;1,"跟进ID重复",IF(B24="","缺少所属工单ID",IF(COUNTIF('工单'!$A$5:$A$104,B24)=0,"所属工单ID不存在",IF(C24="","缺少记录类型",IF(D24="","缺少跟进内容","可用")))))))</x:f>
      </x:c>
    </x:row>
    <x:row r="25" ht="28" customHeight="1">
      <x:c r="A25" s="98"/>
      <x:c r="B25" s="98"/>
      <x:c r="C25" s="25"/>
      <x:c r="D25" s="25"/>
      <x:c r="E25" s="25"/>
      <x:c r="F25" s="25"/>
      <x:c r="G25" s="98"/>
      <x:c r="H25" s="25"/>
      <x:c r="I25" s="100"/>
      <x:c r="J25" s="25" t="str">
        <x:f>IF(COUNTA(A25:I25)=0,"",IF(A25="","缺少跟进ID",IF(COUNTIF($A$5:$A$104,A25)&gt;1,"跟进ID重复",IF(B25="","缺少所属工单ID",IF(COUNTIF('工单'!$A$5:$A$104,B25)=0,"所属工单ID不存在",IF(C25="","缺少记录类型",IF(D25="","缺少跟进内容","可用")))))))</x:f>
      </x:c>
    </x:row>
    <x:row r="26" ht="28" customHeight="1">
      <x:c r="A26" s="98"/>
      <x:c r="B26" s="98"/>
      <x:c r="C26" s="25"/>
      <x:c r="D26" s="25"/>
      <x:c r="E26" s="25"/>
      <x:c r="F26" s="25"/>
      <x:c r="G26" s="98"/>
      <x:c r="H26" s="25"/>
      <x:c r="I26" s="100"/>
      <x:c r="J26" s="25" t="str">
        <x:f>IF(COUNTA(A26:I26)=0,"",IF(A26="","缺少跟进ID",IF(COUNTIF($A$5:$A$104,A26)&gt;1,"跟进ID重复",IF(B26="","缺少所属工单ID",IF(COUNTIF('工单'!$A$5:$A$104,B26)=0,"所属工单ID不存在",IF(C26="","缺少记录类型",IF(D26="","缺少跟进内容","可用")))))))</x:f>
      </x:c>
    </x:row>
    <x:row r="27" ht="28" customHeight="1">
      <x:c r="A27" s="98"/>
      <x:c r="B27" s="98"/>
      <x:c r="C27" s="25"/>
      <x:c r="D27" s="25"/>
      <x:c r="E27" s="25"/>
      <x:c r="F27" s="25"/>
      <x:c r="G27" s="98"/>
      <x:c r="H27" s="25"/>
      <x:c r="I27" s="100"/>
      <x:c r="J27" s="25" t="str">
        <x:f>IF(COUNTA(A27:I27)=0,"",IF(A27="","缺少跟进ID",IF(COUNTIF($A$5:$A$104,A27)&gt;1,"跟进ID重复",IF(B27="","缺少所属工单ID",IF(COUNTIF('工单'!$A$5:$A$104,B27)=0,"所属工单ID不存在",IF(C27="","缺少记录类型",IF(D27="","缺少跟进内容","可用")))))))</x:f>
      </x:c>
    </x:row>
    <x:row r="28" ht="28" customHeight="1">
      <x:c r="A28" s="98"/>
      <x:c r="B28" s="98"/>
      <x:c r="C28" s="25"/>
      <x:c r="D28" s="25"/>
      <x:c r="E28" s="25"/>
      <x:c r="F28" s="25"/>
      <x:c r="G28" s="98"/>
      <x:c r="H28" s="25"/>
      <x:c r="I28" s="100"/>
      <x:c r="J28" s="25" t="str">
        <x:f>IF(COUNTA(A28:I28)=0,"",IF(A28="","缺少跟进ID",IF(COUNTIF($A$5:$A$104,A28)&gt;1,"跟进ID重复",IF(B28="","缺少所属工单ID",IF(COUNTIF('工单'!$A$5:$A$104,B28)=0,"所属工单ID不存在",IF(C28="","缺少记录类型",IF(D28="","缺少跟进内容","可用")))))))</x:f>
      </x:c>
    </x:row>
    <x:row r="29" ht="28" customHeight="1">
      <x:c r="A29" s="98"/>
      <x:c r="B29" s="98"/>
      <x:c r="C29" s="25"/>
      <x:c r="D29" s="25"/>
      <x:c r="E29" s="25"/>
      <x:c r="F29" s="25"/>
      <x:c r="G29" s="98"/>
      <x:c r="H29" s="25"/>
      <x:c r="I29" s="100"/>
      <x:c r="J29" s="25" t="str">
        <x:f>IF(COUNTA(A29:I29)=0,"",IF(A29="","缺少跟进ID",IF(COUNTIF($A$5:$A$104,A29)&gt;1,"跟进ID重复",IF(B29="","缺少所属工单ID",IF(COUNTIF('工单'!$A$5:$A$104,B29)=0,"所属工单ID不存在",IF(C29="","缺少记录类型",IF(D29="","缺少跟进内容","可用")))))))</x:f>
      </x:c>
    </x:row>
    <x:row r="30" ht="28" customHeight="1">
      <x:c r="A30" s="98"/>
      <x:c r="B30" s="98"/>
      <x:c r="C30" s="25"/>
      <x:c r="D30" s="25"/>
      <x:c r="E30" s="25"/>
      <x:c r="F30" s="25"/>
      <x:c r="G30" s="98"/>
      <x:c r="H30" s="25"/>
      <x:c r="I30" s="100"/>
      <x:c r="J30" s="25" t="str">
        <x:f>IF(COUNTA(A30:I30)=0,"",IF(A30="","缺少跟进ID",IF(COUNTIF($A$5:$A$104,A30)&gt;1,"跟进ID重复",IF(B30="","缺少所属工单ID",IF(COUNTIF('工单'!$A$5:$A$104,B30)=0,"所属工单ID不存在",IF(C30="","缺少记录类型",IF(D30="","缺少跟进内容","可用")))))))</x:f>
      </x:c>
    </x:row>
    <x:row r="31" ht="28" customHeight="1">
      <x:c r="A31" s="98"/>
      <x:c r="B31" s="98"/>
      <x:c r="C31" s="25"/>
      <x:c r="D31" s="25"/>
      <x:c r="E31" s="25"/>
      <x:c r="F31" s="25"/>
      <x:c r="G31" s="98"/>
      <x:c r="H31" s="25"/>
      <x:c r="I31" s="100"/>
      <x:c r="J31" s="25" t="str">
        <x:f>IF(COUNTA(A31:I31)=0,"",IF(A31="","缺少跟进ID",IF(COUNTIF($A$5:$A$104,A31)&gt;1,"跟进ID重复",IF(B31="","缺少所属工单ID",IF(COUNTIF('工单'!$A$5:$A$104,B31)=0,"所属工单ID不存在",IF(C31="","缺少记录类型",IF(D31="","缺少跟进内容","可用")))))))</x:f>
      </x:c>
    </x:row>
    <x:row r="32" ht="28" customHeight="1">
      <x:c r="A32" s="98"/>
      <x:c r="B32" s="98"/>
      <x:c r="C32" s="25"/>
      <x:c r="D32" s="25"/>
      <x:c r="E32" s="25"/>
      <x:c r="F32" s="25"/>
      <x:c r="G32" s="98"/>
      <x:c r="H32" s="25"/>
      <x:c r="I32" s="100"/>
      <x:c r="J32" s="25" t="str">
        <x:f>IF(COUNTA(A32:I32)=0,"",IF(A32="","缺少跟进ID",IF(COUNTIF($A$5:$A$104,A32)&gt;1,"跟进ID重复",IF(B32="","缺少所属工单ID",IF(COUNTIF('工单'!$A$5:$A$104,B32)=0,"所属工单ID不存在",IF(C32="","缺少记录类型",IF(D32="","缺少跟进内容","可用")))))))</x:f>
      </x:c>
    </x:row>
    <x:row r="33" ht="28" customHeight="1">
      <x:c r="A33" s="98"/>
      <x:c r="B33" s="98"/>
      <x:c r="C33" s="25"/>
      <x:c r="D33" s="25"/>
      <x:c r="E33" s="25"/>
      <x:c r="F33" s="25"/>
      <x:c r="G33" s="98"/>
      <x:c r="H33" s="25"/>
      <x:c r="I33" s="100"/>
      <x:c r="J33" s="25" t="str">
        <x:f>IF(COUNTA(A33:I33)=0,"",IF(A33="","缺少跟进ID",IF(COUNTIF($A$5:$A$104,A33)&gt;1,"跟进ID重复",IF(B33="","缺少所属工单ID",IF(COUNTIF('工单'!$A$5:$A$104,B33)=0,"所属工单ID不存在",IF(C33="","缺少记录类型",IF(D33="","缺少跟进内容","可用")))))))</x:f>
      </x:c>
    </x:row>
    <x:row r="34" ht="28" customHeight="1">
      <x:c r="A34" s="98"/>
      <x:c r="B34" s="98"/>
      <x:c r="C34" s="25"/>
      <x:c r="D34" s="25"/>
      <x:c r="E34" s="25"/>
      <x:c r="F34" s="25"/>
      <x:c r="G34" s="98"/>
      <x:c r="H34" s="25"/>
      <x:c r="I34" s="100"/>
      <x:c r="J34" s="25" t="str">
        <x:f>IF(COUNTA(A34:I34)=0,"",IF(A34="","缺少跟进ID",IF(COUNTIF($A$5:$A$104,A34)&gt;1,"跟进ID重复",IF(B34="","缺少所属工单ID",IF(COUNTIF('工单'!$A$5:$A$104,B34)=0,"所属工单ID不存在",IF(C34="","缺少记录类型",IF(D34="","缺少跟进内容","可用")))))))</x:f>
      </x:c>
    </x:row>
    <x:row r="35" ht="28" customHeight="1">
      <x:c r="A35" s="98"/>
      <x:c r="B35" s="98"/>
      <x:c r="C35" s="25"/>
      <x:c r="D35" s="25"/>
      <x:c r="E35" s="25"/>
      <x:c r="F35" s="25"/>
      <x:c r="G35" s="98"/>
      <x:c r="H35" s="25"/>
      <x:c r="I35" s="100"/>
      <x:c r="J35" s="25" t="str">
        <x:f>IF(COUNTA(A35:I35)=0,"",IF(A35="","缺少跟进ID",IF(COUNTIF($A$5:$A$104,A35)&gt;1,"跟进ID重复",IF(B35="","缺少所属工单ID",IF(COUNTIF('工单'!$A$5:$A$104,B35)=0,"所属工单ID不存在",IF(C35="","缺少记录类型",IF(D35="","缺少跟进内容","可用")))))))</x:f>
      </x:c>
    </x:row>
    <x:row r="36" ht="28" customHeight="1">
      <x:c r="A36" s="98"/>
      <x:c r="B36" s="98"/>
      <x:c r="C36" s="25"/>
      <x:c r="D36" s="25"/>
      <x:c r="E36" s="25"/>
      <x:c r="F36" s="25"/>
      <x:c r="G36" s="98"/>
      <x:c r="H36" s="25"/>
      <x:c r="I36" s="100"/>
      <x:c r="J36" s="25" t="str">
        <x:f>IF(COUNTA(A36:I36)=0,"",IF(A36="","缺少跟进ID",IF(COUNTIF($A$5:$A$104,A36)&gt;1,"跟进ID重复",IF(B36="","缺少所属工单ID",IF(COUNTIF('工单'!$A$5:$A$104,B36)=0,"所属工单ID不存在",IF(C36="","缺少记录类型",IF(D36="","缺少跟进内容","可用")))))))</x:f>
      </x:c>
    </x:row>
    <x:row r="37" ht="28" customHeight="1">
      <x:c r="A37" s="98"/>
      <x:c r="B37" s="98"/>
      <x:c r="C37" s="25"/>
      <x:c r="D37" s="25"/>
      <x:c r="E37" s="25"/>
      <x:c r="F37" s="25"/>
      <x:c r="G37" s="98"/>
      <x:c r="H37" s="25"/>
      <x:c r="I37" s="100"/>
      <x:c r="J37" s="25" t="str">
        <x:f>IF(COUNTA(A37:I37)=0,"",IF(A37="","缺少跟进ID",IF(COUNTIF($A$5:$A$104,A37)&gt;1,"跟进ID重复",IF(B37="","缺少所属工单ID",IF(COUNTIF('工单'!$A$5:$A$104,B37)=0,"所属工单ID不存在",IF(C37="","缺少记录类型",IF(D37="","缺少跟进内容","可用")))))))</x:f>
      </x:c>
    </x:row>
    <x:row r="38" ht="28" customHeight="1">
      <x:c r="A38" s="98"/>
      <x:c r="B38" s="98"/>
      <x:c r="C38" s="25"/>
      <x:c r="D38" s="25"/>
      <x:c r="E38" s="25"/>
      <x:c r="F38" s="25"/>
      <x:c r="G38" s="98"/>
      <x:c r="H38" s="25"/>
      <x:c r="I38" s="100"/>
      <x:c r="J38" s="25" t="str">
        <x:f>IF(COUNTA(A38:I38)=0,"",IF(A38="","缺少跟进ID",IF(COUNTIF($A$5:$A$104,A38)&gt;1,"跟进ID重复",IF(B38="","缺少所属工单ID",IF(COUNTIF('工单'!$A$5:$A$104,B38)=0,"所属工单ID不存在",IF(C38="","缺少记录类型",IF(D38="","缺少跟进内容","可用")))))))</x:f>
      </x:c>
    </x:row>
    <x:row r="39" ht="28" customHeight="1">
      <x:c r="A39" s="98"/>
      <x:c r="B39" s="98"/>
      <x:c r="C39" s="25"/>
      <x:c r="D39" s="25"/>
      <x:c r="E39" s="25"/>
      <x:c r="F39" s="25"/>
      <x:c r="G39" s="98"/>
      <x:c r="H39" s="25"/>
      <x:c r="I39" s="100"/>
      <x:c r="J39" s="25" t="str">
        <x:f>IF(COUNTA(A39:I39)=0,"",IF(A39="","缺少跟进ID",IF(COUNTIF($A$5:$A$104,A39)&gt;1,"跟进ID重复",IF(B39="","缺少所属工单ID",IF(COUNTIF('工单'!$A$5:$A$104,B39)=0,"所属工单ID不存在",IF(C39="","缺少记录类型",IF(D39="","缺少跟进内容","可用")))))))</x:f>
      </x:c>
    </x:row>
    <x:row r="40" ht="28" customHeight="1">
      <x:c r="A40" s="98"/>
      <x:c r="B40" s="98"/>
      <x:c r="C40" s="25"/>
      <x:c r="D40" s="25"/>
      <x:c r="E40" s="25"/>
      <x:c r="F40" s="25"/>
      <x:c r="G40" s="98"/>
      <x:c r="H40" s="25"/>
      <x:c r="I40" s="100"/>
      <x:c r="J40" s="25" t="str">
        <x:f>IF(COUNTA(A40:I40)=0,"",IF(A40="","缺少跟进ID",IF(COUNTIF($A$5:$A$104,A40)&gt;1,"跟进ID重复",IF(B40="","缺少所属工单ID",IF(COUNTIF('工单'!$A$5:$A$104,B40)=0,"所属工单ID不存在",IF(C40="","缺少记录类型",IF(D40="","缺少跟进内容","可用")))))))</x:f>
      </x:c>
    </x:row>
    <x:row r="41" ht="28" customHeight="1">
      <x:c r="A41" s="98"/>
      <x:c r="B41" s="98"/>
      <x:c r="C41" s="25"/>
      <x:c r="D41" s="25"/>
      <x:c r="E41" s="25"/>
      <x:c r="F41" s="25"/>
      <x:c r="G41" s="98"/>
      <x:c r="H41" s="25"/>
      <x:c r="I41" s="100"/>
      <x:c r="J41" s="25" t="str">
        <x:f>IF(COUNTA(A41:I41)=0,"",IF(A41="","缺少跟进ID",IF(COUNTIF($A$5:$A$104,A41)&gt;1,"跟进ID重复",IF(B41="","缺少所属工单ID",IF(COUNTIF('工单'!$A$5:$A$104,B41)=0,"所属工单ID不存在",IF(C41="","缺少记录类型",IF(D41="","缺少跟进内容","可用")))))))</x:f>
      </x:c>
    </x:row>
    <x:row r="42" ht="28" customHeight="1">
      <x:c r="A42" s="98"/>
      <x:c r="B42" s="98"/>
      <x:c r="C42" s="25"/>
      <x:c r="D42" s="25"/>
      <x:c r="E42" s="25"/>
      <x:c r="F42" s="25"/>
      <x:c r="G42" s="98"/>
      <x:c r="H42" s="25"/>
      <x:c r="I42" s="100"/>
      <x:c r="J42" s="25" t="str">
        <x:f>IF(COUNTA(A42:I42)=0,"",IF(A42="","缺少跟进ID",IF(COUNTIF($A$5:$A$104,A42)&gt;1,"跟进ID重复",IF(B42="","缺少所属工单ID",IF(COUNTIF('工单'!$A$5:$A$104,B42)=0,"所属工单ID不存在",IF(C42="","缺少记录类型",IF(D42="","缺少跟进内容","可用")))))))</x:f>
      </x:c>
    </x:row>
    <x:row r="43" ht="28" customHeight="1">
      <x:c r="A43" s="98"/>
      <x:c r="B43" s="98"/>
      <x:c r="C43" s="25"/>
      <x:c r="D43" s="25"/>
      <x:c r="E43" s="25"/>
      <x:c r="F43" s="25"/>
      <x:c r="G43" s="98"/>
      <x:c r="H43" s="25"/>
      <x:c r="I43" s="100"/>
      <x:c r="J43" s="25" t="str">
        <x:f>IF(COUNTA(A43:I43)=0,"",IF(A43="","缺少跟进ID",IF(COUNTIF($A$5:$A$104,A43)&gt;1,"跟进ID重复",IF(B43="","缺少所属工单ID",IF(COUNTIF('工单'!$A$5:$A$104,B43)=0,"所属工单ID不存在",IF(C43="","缺少记录类型",IF(D43="","缺少跟进内容","可用")))))))</x:f>
      </x:c>
    </x:row>
    <x:row r="44" ht="28" customHeight="1">
      <x:c r="A44" s="98"/>
      <x:c r="B44" s="98"/>
      <x:c r="C44" s="25"/>
      <x:c r="D44" s="25"/>
      <x:c r="E44" s="25"/>
      <x:c r="F44" s="25"/>
      <x:c r="G44" s="98"/>
      <x:c r="H44" s="25"/>
      <x:c r="I44" s="100"/>
      <x:c r="J44" s="25" t="str">
        <x:f>IF(COUNTA(A44:I44)=0,"",IF(A44="","缺少跟进ID",IF(COUNTIF($A$5:$A$104,A44)&gt;1,"跟进ID重复",IF(B44="","缺少所属工单ID",IF(COUNTIF('工单'!$A$5:$A$104,B44)=0,"所属工单ID不存在",IF(C44="","缺少记录类型",IF(D44="","缺少跟进内容","可用")))))))</x:f>
      </x:c>
    </x:row>
    <x:row r="45" ht="28" customHeight="1">
      <x:c r="A45" s="98"/>
      <x:c r="B45" s="98"/>
      <x:c r="C45" s="25"/>
      <x:c r="D45" s="25"/>
      <x:c r="E45" s="25"/>
      <x:c r="F45" s="25"/>
      <x:c r="G45" s="98"/>
      <x:c r="H45" s="25"/>
      <x:c r="I45" s="100"/>
      <x:c r="J45" s="25" t="str">
        <x:f>IF(COUNTA(A45:I45)=0,"",IF(A45="","缺少跟进ID",IF(COUNTIF($A$5:$A$104,A45)&gt;1,"跟进ID重复",IF(B45="","缺少所属工单ID",IF(COUNTIF('工单'!$A$5:$A$104,B45)=0,"所属工单ID不存在",IF(C45="","缺少记录类型",IF(D45="","缺少跟进内容","可用")))))))</x:f>
      </x:c>
    </x:row>
    <x:row r="46" ht="28" customHeight="1">
      <x:c r="A46" s="98"/>
      <x:c r="B46" s="98"/>
      <x:c r="C46" s="25"/>
      <x:c r="D46" s="25"/>
      <x:c r="E46" s="25"/>
      <x:c r="F46" s="25"/>
      <x:c r="G46" s="98"/>
      <x:c r="H46" s="25"/>
      <x:c r="I46" s="100"/>
      <x:c r="J46" s="25" t="str">
        <x:f>IF(COUNTA(A46:I46)=0,"",IF(A46="","缺少跟进ID",IF(COUNTIF($A$5:$A$104,A46)&gt;1,"跟进ID重复",IF(B46="","缺少所属工单ID",IF(COUNTIF('工单'!$A$5:$A$104,B46)=0,"所属工单ID不存在",IF(C46="","缺少记录类型",IF(D46="","缺少跟进内容","可用")))))))</x:f>
      </x:c>
    </x:row>
    <x:row r="47" ht="28" customHeight="1">
      <x:c r="A47" s="98"/>
      <x:c r="B47" s="98"/>
      <x:c r="C47" s="25"/>
      <x:c r="D47" s="25"/>
      <x:c r="E47" s="25"/>
      <x:c r="F47" s="25"/>
      <x:c r="G47" s="98"/>
      <x:c r="H47" s="25"/>
      <x:c r="I47" s="100"/>
      <x:c r="J47" s="25" t="str">
        <x:f>IF(COUNTA(A47:I47)=0,"",IF(A47="","缺少跟进ID",IF(COUNTIF($A$5:$A$104,A47)&gt;1,"跟进ID重复",IF(B47="","缺少所属工单ID",IF(COUNTIF('工单'!$A$5:$A$104,B47)=0,"所属工单ID不存在",IF(C47="","缺少记录类型",IF(D47="","缺少跟进内容","可用")))))))</x:f>
      </x:c>
    </x:row>
    <x:row r="48" ht="28" customHeight="1">
      <x:c r="A48" s="98"/>
      <x:c r="B48" s="98"/>
      <x:c r="C48" s="25"/>
      <x:c r="D48" s="25"/>
      <x:c r="E48" s="25"/>
      <x:c r="F48" s="25"/>
      <x:c r="G48" s="98"/>
      <x:c r="H48" s="25"/>
      <x:c r="I48" s="100"/>
      <x:c r="J48" s="25" t="str">
        <x:f>IF(COUNTA(A48:I48)=0,"",IF(A48="","缺少跟进ID",IF(COUNTIF($A$5:$A$104,A48)&gt;1,"跟进ID重复",IF(B48="","缺少所属工单ID",IF(COUNTIF('工单'!$A$5:$A$104,B48)=0,"所属工单ID不存在",IF(C48="","缺少记录类型",IF(D48="","缺少跟进内容","可用")))))))</x:f>
      </x:c>
    </x:row>
    <x:row r="49" ht="28" customHeight="1">
      <x:c r="A49" s="98"/>
      <x:c r="B49" s="98"/>
      <x:c r="C49" s="25"/>
      <x:c r="D49" s="25"/>
      <x:c r="E49" s="25"/>
      <x:c r="F49" s="25"/>
      <x:c r="G49" s="98"/>
      <x:c r="H49" s="25"/>
      <x:c r="I49" s="100"/>
      <x:c r="J49" s="25" t="str">
        <x:f>IF(COUNTA(A49:I49)=0,"",IF(A49="","缺少跟进ID",IF(COUNTIF($A$5:$A$104,A49)&gt;1,"跟进ID重复",IF(B49="","缺少所属工单ID",IF(COUNTIF('工单'!$A$5:$A$104,B49)=0,"所属工单ID不存在",IF(C49="","缺少记录类型",IF(D49="","缺少跟进内容","可用")))))))</x:f>
      </x:c>
    </x:row>
    <x:row r="50" ht="28" customHeight="1">
      <x:c r="A50" s="98"/>
      <x:c r="B50" s="98"/>
      <x:c r="C50" s="25"/>
      <x:c r="D50" s="25"/>
      <x:c r="E50" s="25"/>
      <x:c r="F50" s="25"/>
      <x:c r="G50" s="98"/>
      <x:c r="H50" s="25"/>
      <x:c r="I50" s="100"/>
      <x:c r="J50" s="25" t="str">
        <x:f>IF(COUNTA(A50:I50)=0,"",IF(A50="","缺少跟进ID",IF(COUNTIF($A$5:$A$104,A50)&gt;1,"跟进ID重复",IF(B50="","缺少所属工单ID",IF(COUNTIF('工单'!$A$5:$A$104,B50)=0,"所属工单ID不存在",IF(C50="","缺少记录类型",IF(D50="","缺少跟进内容","可用")))))))</x:f>
      </x:c>
    </x:row>
    <x:row r="51" ht="28" customHeight="1">
      <x:c r="A51" s="98"/>
      <x:c r="B51" s="98"/>
      <x:c r="C51" s="25"/>
      <x:c r="D51" s="25"/>
      <x:c r="E51" s="25"/>
      <x:c r="F51" s="25"/>
      <x:c r="G51" s="98"/>
      <x:c r="H51" s="25"/>
      <x:c r="I51" s="100"/>
      <x:c r="J51" s="25" t="str">
        <x:f>IF(COUNTA(A51:I51)=0,"",IF(A51="","缺少跟进ID",IF(COUNTIF($A$5:$A$104,A51)&gt;1,"跟进ID重复",IF(B51="","缺少所属工单ID",IF(COUNTIF('工单'!$A$5:$A$104,B51)=0,"所属工单ID不存在",IF(C51="","缺少记录类型",IF(D51="","缺少跟进内容","可用")))))))</x:f>
      </x:c>
    </x:row>
    <x:row r="52" ht="28" customHeight="1">
      <x:c r="A52" s="98"/>
      <x:c r="B52" s="98"/>
      <x:c r="C52" s="25"/>
      <x:c r="D52" s="25"/>
      <x:c r="E52" s="25"/>
      <x:c r="F52" s="25"/>
      <x:c r="G52" s="98"/>
      <x:c r="H52" s="25"/>
      <x:c r="I52" s="100"/>
      <x:c r="J52" s="25" t="str">
        <x:f>IF(COUNTA(A52:I52)=0,"",IF(A52="","缺少跟进ID",IF(COUNTIF($A$5:$A$104,A52)&gt;1,"跟进ID重复",IF(B52="","缺少所属工单ID",IF(COUNTIF('工单'!$A$5:$A$104,B52)=0,"所属工单ID不存在",IF(C52="","缺少记录类型",IF(D52="","缺少跟进内容","可用")))))))</x:f>
      </x:c>
    </x:row>
    <x:row r="53" ht="28" customHeight="1">
      <x:c r="A53" s="98"/>
      <x:c r="B53" s="98"/>
      <x:c r="C53" s="25"/>
      <x:c r="D53" s="25"/>
      <x:c r="E53" s="25"/>
      <x:c r="F53" s="25"/>
      <x:c r="G53" s="98"/>
      <x:c r="H53" s="25"/>
      <x:c r="I53" s="100"/>
      <x:c r="J53" s="25" t="str">
        <x:f>IF(COUNTA(A53:I53)=0,"",IF(A53="","缺少跟进ID",IF(COUNTIF($A$5:$A$104,A53)&gt;1,"跟进ID重复",IF(B53="","缺少所属工单ID",IF(COUNTIF('工单'!$A$5:$A$104,B53)=0,"所属工单ID不存在",IF(C53="","缺少记录类型",IF(D53="","缺少跟进内容","可用")))))))</x:f>
      </x:c>
    </x:row>
    <x:row r="54" ht="28" customHeight="1">
      <x:c r="A54" s="98"/>
      <x:c r="B54" s="98"/>
      <x:c r="C54" s="25"/>
      <x:c r="D54" s="25"/>
      <x:c r="E54" s="25"/>
      <x:c r="F54" s="25"/>
      <x:c r="G54" s="98"/>
      <x:c r="H54" s="25"/>
      <x:c r="I54" s="100"/>
      <x:c r="J54" s="25" t="str">
        <x:f>IF(COUNTA(A54:I54)=0,"",IF(A54="","缺少跟进ID",IF(COUNTIF($A$5:$A$104,A54)&gt;1,"跟进ID重复",IF(B54="","缺少所属工单ID",IF(COUNTIF('工单'!$A$5:$A$104,B54)=0,"所属工单ID不存在",IF(C54="","缺少记录类型",IF(D54="","缺少跟进内容","可用")))))))</x:f>
      </x:c>
    </x:row>
    <x:row r="55" ht="28" customHeight="1">
      <x:c r="A55" s="98"/>
      <x:c r="B55" s="98"/>
      <x:c r="C55" s="25"/>
      <x:c r="D55" s="25"/>
      <x:c r="E55" s="25"/>
      <x:c r="F55" s="25"/>
      <x:c r="G55" s="98"/>
      <x:c r="H55" s="25"/>
      <x:c r="I55" s="100"/>
      <x:c r="J55" s="25" t="str">
        <x:f>IF(COUNTA(A55:I55)=0,"",IF(A55="","缺少跟进ID",IF(COUNTIF($A$5:$A$104,A55)&gt;1,"跟进ID重复",IF(B55="","缺少所属工单ID",IF(COUNTIF('工单'!$A$5:$A$104,B55)=0,"所属工单ID不存在",IF(C55="","缺少记录类型",IF(D55="","缺少跟进内容","可用")))))))</x:f>
      </x:c>
    </x:row>
    <x:row r="56" ht="28" customHeight="1">
      <x:c r="A56" s="98"/>
      <x:c r="B56" s="98"/>
      <x:c r="C56" s="25"/>
      <x:c r="D56" s="25"/>
      <x:c r="E56" s="25"/>
      <x:c r="F56" s="25"/>
      <x:c r="G56" s="98"/>
      <x:c r="H56" s="25"/>
      <x:c r="I56" s="100"/>
      <x:c r="J56" s="25" t="str">
        <x:f>IF(COUNTA(A56:I56)=0,"",IF(A56="","缺少跟进ID",IF(COUNTIF($A$5:$A$104,A56)&gt;1,"跟进ID重复",IF(B56="","缺少所属工单ID",IF(COUNTIF('工单'!$A$5:$A$104,B56)=0,"所属工单ID不存在",IF(C56="","缺少记录类型",IF(D56="","缺少跟进内容","可用")))))))</x:f>
      </x:c>
    </x:row>
    <x:row r="57" ht="28" customHeight="1">
      <x:c r="A57" s="98"/>
      <x:c r="B57" s="98"/>
      <x:c r="C57" s="25"/>
      <x:c r="D57" s="25"/>
      <x:c r="E57" s="25"/>
      <x:c r="F57" s="25"/>
      <x:c r="G57" s="98"/>
      <x:c r="H57" s="25"/>
      <x:c r="I57" s="100"/>
      <x:c r="J57" s="25" t="str">
        <x:f>IF(COUNTA(A57:I57)=0,"",IF(A57="","缺少跟进ID",IF(COUNTIF($A$5:$A$104,A57)&gt;1,"跟进ID重复",IF(B57="","缺少所属工单ID",IF(COUNTIF('工单'!$A$5:$A$104,B57)=0,"所属工单ID不存在",IF(C57="","缺少记录类型",IF(D57="","缺少跟进内容","可用")))))))</x:f>
      </x:c>
    </x:row>
    <x:row r="58" ht="28" customHeight="1">
      <x:c r="A58" s="98"/>
      <x:c r="B58" s="98"/>
      <x:c r="C58" s="25"/>
      <x:c r="D58" s="25"/>
      <x:c r="E58" s="25"/>
      <x:c r="F58" s="25"/>
      <x:c r="G58" s="98"/>
      <x:c r="H58" s="25"/>
      <x:c r="I58" s="100"/>
      <x:c r="J58" s="25" t="str">
        <x:f>IF(COUNTA(A58:I58)=0,"",IF(A58="","缺少跟进ID",IF(COUNTIF($A$5:$A$104,A58)&gt;1,"跟进ID重复",IF(B58="","缺少所属工单ID",IF(COUNTIF('工单'!$A$5:$A$104,B58)=0,"所属工单ID不存在",IF(C58="","缺少记录类型",IF(D58="","缺少跟进内容","可用")))))))</x:f>
      </x:c>
    </x:row>
    <x:row r="59" ht="28" customHeight="1">
      <x:c r="A59" s="98"/>
      <x:c r="B59" s="98"/>
      <x:c r="C59" s="25"/>
      <x:c r="D59" s="25"/>
      <x:c r="E59" s="25"/>
      <x:c r="F59" s="25"/>
      <x:c r="G59" s="98"/>
      <x:c r="H59" s="25"/>
      <x:c r="I59" s="100"/>
      <x:c r="J59" s="25" t="str">
        <x:f>IF(COUNTA(A59:I59)=0,"",IF(A59="","缺少跟进ID",IF(COUNTIF($A$5:$A$104,A59)&gt;1,"跟进ID重复",IF(B59="","缺少所属工单ID",IF(COUNTIF('工单'!$A$5:$A$104,B59)=0,"所属工单ID不存在",IF(C59="","缺少记录类型",IF(D59="","缺少跟进内容","可用")))))))</x:f>
      </x:c>
    </x:row>
    <x:row r="60" ht="28" customHeight="1">
      <x:c r="A60" s="98"/>
      <x:c r="B60" s="98"/>
      <x:c r="C60" s="25"/>
      <x:c r="D60" s="25"/>
      <x:c r="E60" s="25"/>
      <x:c r="F60" s="25"/>
      <x:c r="G60" s="98"/>
      <x:c r="H60" s="25"/>
      <x:c r="I60" s="100"/>
      <x:c r="J60" s="25" t="str">
        <x:f>IF(COUNTA(A60:I60)=0,"",IF(A60="","缺少跟进ID",IF(COUNTIF($A$5:$A$104,A60)&gt;1,"跟进ID重复",IF(B60="","缺少所属工单ID",IF(COUNTIF('工单'!$A$5:$A$104,B60)=0,"所属工单ID不存在",IF(C60="","缺少记录类型",IF(D60="","缺少跟进内容","可用")))))))</x:f>
      </x:c>
    </x:row>
    <x:row r="61" ht="28" customHeight="1">
      <x:c r="A61" s="98"/>
      <x:c r="B61" s="98"/>
      <x:c r="C61" s="25"/>
      <x:c r="D61" s="25"/>
      <x:c r="E61" s="25"/>
      <x:c r="F61" s="25"/>
      <x:c r="G61" s="98"/>
      <x:c r="H61" s="25"/>
      <x:c r="I61" s="100"/>
      <x:c r="J61" s="25" t="str">
        <x:f>IF(COUNTA(A61:I61)=0,"",IF(A61="","缺少跟进ID",IF(COUNTIF($A$5:$A$104,A61)&gt;1,"跟进ID重复",IF(B61="","缺少所属工单ID",IF(COUNTIF('工单'!$A$5:$A$104,B61)=0,"所属工单ID不存在",IF(C61="","缺少记录类型",IF(D61="","缺少跟进内容","可用")))))))</x:f>
      </x:c>
    </x:row>
    <x:row r="62" ht="28" customHeight="1">
      <x:c r="A62" s="98"/>
      <x:c r="B62" s="98"/>
      <x:c r="C62" s="25"/>
      <x:c r="D62" s="25"/>
      <x:c r="E62" s="25"/>
      <x:c r="F62" s="25"/>
      <x:c r="G62" s="98"/>
      <x:c r="H62" s="25"/>
      <x:c r="I62" s="100"/>
      <x:c r="J62" s="25" t="str">
        <x:f>IF(COUNTA(A62:I62)=0,"",IF(A62="","缺少跟进ID",IF(COUNTIF($A$5:$A$104,A62)&gt;1,"跟进ID重复",IF(B62="","缺少所属工单ID",IF(COUNTIF('工单'!$A$5:$A$104,B62)=0,"所属工单ID不存在",IF(C62="","缺少记录类型",IF(D62="","缺少跟进内容","可用")))))))</x:f>
      </x:c>
    </x:row>
    <x:row r="63" ht="28" customHeight="1">
      <x:c r="A63" s="98"/>
      <x:c r="B63" s="98"/>
      <x:c r="C63" s="25"/>
      <x:c r="D63" s="25"/>
      <x:c r="E63" s="25"/>
      <x:c r="F63" s="25"/>
      <x:c r="G63" s="98"/>
      <x:c r="H63" s="25"/>
      <x:c r="I63" s="100"/>
      <x:c r="J63" s="25" t="str">
        <x:f>IF(COUNTA(A63:I63)=0,"",IF(A63="","缺少跟进ID",IF(COUNTIF($A$5:$A$104,A63)&gt;1,"跟进ID重复",IF(B63="","缺少所属工单ID",IF(COUNTIF('工单'!$A$5:$A$104,B63)=0,"所属工单ID不存在",IF(C63="","缺少记录类型",IF(D63="","缺少跟进内容","可用")))))))</x:f>
      </x:c>
    </x:row>
    <x:row r="64" ht="28" customHeight="1">
      <x:c r="A64" s="98"/>
      <x:c r="B64" s="98"/>
      <x:c r="C64" s="25"/>
      <x:c r="D64" s="25"/>
      <x:c r="E64" s="25"/>
      <x:c r="F64" s="25"/>
      <x:c r="G64" s="98"/>
      <x:c r="H64" s="25"/>
      <x:c r="I64" s="100"/>
      <x:c r="J64" s="25" t="str">
        <x:f>IF(COUNTA(A64:I64)=0,"",IF(A64="","缺少跟进ID",IF(COUNTIF($A$5:$A$104,A64)&gt;1,"跟进ID重复",IF(B64="","缺少所属工单ID",IF(COUNTIF('工单'!$A$5:$A$104,B64)=0,"所属工单ID不存在",IF(C64="","缺少记录类型",IF(D64="","缺少跟进内容","可用")))))))</x:f>
      </x:c>
    </x:row>
    <x:row r="65" ht="28" customHeight="1">
      <x:c r="A65" s="98"/>
      <x:c r="B65" s="98"/>
      <x:c r="C65" s="25"/>
      <x:c r="D65" s="25"/>
      <x:c r="E65" s="25"/>
      <x:c r="F65" s="25"/>
      <x:c r="G65" s="98"/>
      <x:c r="H65" s="25"/>
      <x:c r="I65" s="100"/>
      <x:c r="J65" s="25" t="str">
        <x:f>IF(COUNTA(A65:I65)=0,"",IF(A65="","缺少跟进ID",IF(COUNTIF($A$5:$A$104,A65)&gt;1,"跟进ID重复",IF(B65="","缺少所属工单ID",IF(COUNTIF('工单'!$A$5:$A$104,B65)=0,"所属工单ID不存在",IF(C65="","缺少记录类型",IF(D65="","缺少跟进内容","可用")))))))</x:f>
      </x:c>
    </x:row>
    <x:row r="66" ht="28" customHeight="1">
      <x:c r="A66" s="98"/>
      <x:c r="B66" s="98"/>
      <x:c r="C66" s="25"/>
      <x:c r="D66" s="25"/>
      <x:c r="E66" s="25"/>
      <x:c r="F66" s="25"/>
      <x:c r="G66" s="98"/>
      <x:c r="H66" s="25"/>
      <x:c r="I66" s="100"/>
      <x:c r="J66" s="25" t="str">
        <x:f>IF(COUNTA(A66:I66)=0,"",IF(A66="","缺少跟进ID",IF(COUNTIF($A$5:$A$104,A66)&gt;1,"跟进ID重复",IF(B66="","缺少所属工单ID",IF(COUNTIF('工单'!$A$5:$A$104,B66)=0,"所属工单ID不存在",IF(C66="","缺少记录类型",IF(D66="","缺少跟进内容","可用")))))))</x:f>
      </x:c>
    </x:row>
    <x:row r="67" ht="28" customHeight="1">
      <x:c r="A67" s="98"/>
      <x:c r="B67" s="98"/>
      <x:c r="C67" s="25"/>
      <x:c r="D67" s="25"/>
      <x:c r="E67" s="25"/>
      <x:c r="F67" s="25"/>
      <x:c r="G67" s="98"/>
      <x:c r="H67" s="25"/>
      <x:c r="I67" s="100"/>
      <x:c r="J67" s="25" t="str">
        <x:f>IF(COUNTA(A67:I67)=0,"",IF(A67="","缺少跟进ID",IF(COUNTIF($A$5:$A$104,A67)&gt;1,"跟进ID重复",IF(B67="","缺少所属工单ID",IF(COUNTIF('工单'!$A$5:$A$104,B67)=0,"所属工单ID不存在",IF(C67="","缺少记录类型",IF(D67="","缺少跟进内容","可用")))))))</x:f>
      </x:c>
    </x:row>
    <x:row r="68" ht="28" customHeight="1">
      <x:c r="A68" s="98"/>
      <x:c r="B68" s="98"/>
      <x:c r="C68" s="25"/>
      <x:c r="D68" s="25"/>
      <x:c r="E68" s="25"/>
      <x:c r="F68" s="25"/>
      <x:c r="G68" s="98"/>
      <x:c r="H68" s="25"/>
      <x:c r="I68" s="100"/>
      <x:c r="J68" s="25" t="str">
        <x:f>IF(COUNTA(A68:I68)=0,"",IF(A68="","缺少跟进ID",IF(COUNTIF($A$5:$A$104,A68)&gt;1,"跟进ID重复",IF(B68="","缺少所属工单ID",IF(COUNTIF('工单'!$A$5:$A$104,B68)=0,"所属工单ID不存在",IF(C68="","缺少记录类型",IF(D68="","缺少跟进内容","可用")))))))</x:f>
      </x:c>
    </x:row>
    <x:row r="69" ht="28" customHeight="1">
      <x:c r="A69" s="98"/>
      <x:c r="B69" s="98"/>
      <x:c r="C69" s="25"/>
      <x:c r="D69" s="25"/>
      <x:c r="E69" s="25"/>
      <x:c r="F69" s="25"/>
      <x:c r="G69" s="98"/>
      <x:c r="H69" s="25"/>
      <x:c r="I69" s="100"/>
      <x:c r="J69" s="25" t="str">
        <x:f>IF(COUNTA(A69:I69)=0,"",IF(A69="","缺少跟进ID",IF(COUNTIF($A$5:$A$104,A69)&gt;1,"跟进ID重复",IF(B69="","缺少所属工单ID",IF(COUNTIF('工单'!$A$5:$A$104,B69)=0,"所属工单ID不存在",IF(C69="","缺少记录类型",IF(D69="","缺少跟进内容","可用")))))))</x:f>
      </x:c>
    </x:row>
    <x:row r="70" ht="28" customHeight="1">
      <x:c r="A70" s="98"/>
      <x:c r="B70" s="98"/>
      <x:c r="C70" s="25"/>
      <x:c r="D70" s="25"/>
      <x:c r="E70" s="25"/>
      <x:c r="F70" s="25"/>
      <x:c r="G70" s="98"/>
      <x:c r="H70" s="25"/>
      <x:c r="I70" s="100"/>
      <x:c r="J70" s="25" t="str">
        <x:f>IF(COUNTA(A70:I70)=0,"",IF(A70="","缺少跟进ID",IF(COUNTIF($A$5:$A$104,A70)&gt;1,"跟进ID重复",IF(B70="","缺少所属工单ID",IF(COUNTIF('工单'!$A$5:$A$104,B70)=0,"所属工单ID不存在",IF(C70="","缺少记录类型",IF(D70="","缺少跟进内容","可用")))))))</x:f>
      </x:c>
    </x:row>
    <x:row r="71" ht="28" customHeight="1">
      <x:c r="A71" s="98"/>
      <x:c r="B71" s="98"/>
      <x:c r="C71" s="25"/>
      <x:c r="D71" s="25"/>
      <x:c r="E71" s="25"/>
      <x:c r="F71" s="25"/>
      <x:c r="G71" s="98"/>
      <x:c r="H71" s="25"/>
      <x:c r="I71" s="100"/>
      <x:c r="J71" s="25" t="str">
        <x:f>IF(COUNTA(A71:I71)=0,"",IF(A71="","缺少跟进ID",IF(COUNTIF($A$5:$A$104,A71)&gt;1,"跟进ID重复",IF(B71="","缺少所属工单ID",IF(COUNTIF('工单'!$A$5:$A$104,B71)=0,"所属工单ID不存在",IF(C71="","缺少记录类型",IF(D71="","缺少跟进内容","可用")))))))</x:f>
      </x:c>
    </x:row>
    <x:row r="72" ht="28" customHeight="1">
      <x:c r="A72" s="98"/>
      <x:c r="B72" s="98"/>
      <x:c r="C72" s="25"/>
      <x:c r="D72" s="25"/>
      <x:c r="E72" s="25"/>
      <x:c r="F72" s="25"/>
      <x:c r="G72" s="98"/>
      <x:c r="H72" s="25"/>
      <x:c r="I72" s="100"/>
      <x:c r="J72" s="25" t="str">
        <x:f>IF(COUNTA(A72:I72)=0,"",IF(A72="","缺少跟进ID",IF(COUNTIF($A$5:$A$104,A72)&gt;1,"跟进ID重复",IF(B72="","缺少所属工单ID",IF(COUNTIF('工单'!$A$5:$A$104,B72)=0,"所属工单ID不存在",IF(C72="","缺少记录类型",IF(D72="","缺少跟进内容","可用")))))))</x:f>
      </x:c>
    </x:row>
    <x:row r="73" ht="28" customHeight="1">
      <x:c r="A73" s="98"/>
      <x:c r="B73" s="98"/>
      <x:c r="C73" s="25"/>
      <x:c r="D73" s="25"/>
      <x:c r="E73" s="25"/>
      <x:c r="F73" s="25"/>
      <x:c r="G73" s="98"/>
      <x:c r="H73" s="25"/>
      <x:c r="I73" s="100"/>
      <x:c r="J73" s="25" t="str">
        <x:f>IF(COUNTA(A73:I73)=0,"",IF(A73="","缺少跟进ID",IF(COUNTIF($A$5:$A$104,A73)&gt;1,"跟进ID重复",IF(B73="","缺少所属工单ID",IF(COUNTIF('工单'!$A$5:$A$104,B73)=0,"所属工单ID不存在",IF(C73="","缺少记录类型",IF(D73="","缺少跟进内容","可用")))))))</x:f>
      </x:c>
    </x:row>
    <x:row r="74" ht="28" customHeight="1">
      <x:c r="A74" s="98"/>
      <x:c r="B74" s="98"/>
      <x:c r="C74" s="25"/>
      <x:c r="D74" s="25"/>
      <x:c r="E74" s="25"/>
      <x:c r="F74" s="25"/>
      <x:c r="G74" s="98"/>
      <x:c r="H74" s="25"/>
      <x:c r="I74" s="100"/>
      <x:c r="J74" s="25" t="str">
        <x:f>IF(COUNTA(A74:I74)=0,"",IF(A74="","缺少跟进ID",IF(COUNTIF($A$5:$A$104,A74)&gt;1,"跟进ID重复",IF(B74="","缺少所属工单ID",IF(COUNTIF('工单'!$A$5:$A$104,B74)=0,"所属工单ID不存在",IF(C74="","缺少记录类型",IF(D74="","缺少跟进内容","可用")))))))</x:f>
      </x:c>
    </x:row>
    <x:row r="75" ht="28" customHeight="1">
      <x:c r="A75" s="98"/>
      <x:c r="B75" s="98"/>
      <x:c r="C75" s="25"/>
      <x:c r="D75" s="25"/>
      <x:c r="E75" s="25"/>
      <x:c r="F75" s="25"/>
      <x:c r="G75" s="98"/>
      <x:c r="H75" s="25"/>
      <x:c r="I75" s="100"/>
      <x:c r="J75" s="25" t="str">
        <x:f>IF(COUNTA(A75:I75)=0,"",IF(A75="","缺少跟进ID",IF(COUNTIF($A$5:$A$104,A75)&gt;1,"跟进ID重复",IF(B75="","缺少所属工单ID",IF(COUNTIF('工单'!$A$5:$A$104,B75)=0,"所属工单ID不存在",IF(C75="","缺少记录类型",IF(D75="","缺少跟进内容","可用")))))))</x:f>
      </x:c>
    </x:row>
    <x:row r="76" ht="28" customHeight="1">
      <x:c r="A76" s="98"/>
      <x:c r="B76" s="98"/>
      <x:c r="C76" s="25"/>
      <x:c r="D76" s="25"/>
      <x:c r="E76" s="25"/>
      <x:c r="F76" s="25"/>
      <x:c r="G76" s="98"/>
      <x:c r="H76" s="25"/>
      <x:c r="I76" s="100"/>
      <x:c r="J76" s="25" t="str">
        <x:f>IF(COUNTA(A76:I76)=0,"",IF(A76="","缺少跟进ID",IF(COUNTIF($A$5:$A$104,A76)&gt;1,"跟进ID重复",IF(B76="","缺少所属工单ID",IF(COUNTIF('工单'!$A$5:$A$104,B76)=0,"所属工单ID不存在",IF(C76="","缺少记录类型",IF(D76="","缺少跟进内容","可用")))))))</x:f>
      </x:c>
    </x:row>
    <x:row r="77" ht="28" customHeight="1">
      <x:c r="A77" s="98"/>
      <x:c r="B77" s="98"/>
      <x:c r="C77" s="25"/>
      <x:c r="D77" s="25"/>
      <x:c r="E77" s="25"/>
      <x:c r="F77" s="25"/>
      <x:c r="G77" s="98"/>
      <x:c r="H77" s="25"/>
      <x:c r="I77" s="100"/>
      <x:c r="J77" s="25" t="str">
        <x:f>IF(COUNTA(A77:I77)=0,"",IF(A77="","缺少跟进ID",IF(COUNTIF($A$5:$A$104,A77)&gt;1,"跟进ID重复",IF(B77="","缺少所属工单ID",IF(COUNTIF('工单'!$A$5:$A$104,B77)=0,"所属工单ID不存在",IF(C77="","缺少记录类型",IF(D77="","缺少跟进内容","可用")))))))</x:f>
      </x:c>
    </x:row>
    <x:row r="78" ht="28" customHeight="1">
      <x:c r="A78" s="98"/>
      <x:c r="B78" s="98"/>
      <x:c r="C78" s="25"/>
      <x:c r="D78" s="25"/>
      <x:c r="E78" s="25"/>
      <x:c r="F78" s="25"/>
      <x:c r="G78" s="98"/>
      <x:c r="H78" s="25"/>
      <x:c r="I78" s="100"/>
      <x:c r="J78" s="25" t="str">
        <x:f>IF(COUNTA(A78:I78)=0,"",IF(A78="","缺少跟进ID",IF(COUNTIF($A$5:$A$104,A78)&gt;1,"跟进ID重复",IF(B78="","缺少所属工单ID",IF(COUNTIF('工单'!$A$5:$A$104,B78)=0,"所属工单ID不存在",IF(C78="","缺少记录类型",IF(D78="","缺少跟进内容","可用")))))))</x:f>
      </x:c>
    </x:row>
    <x:row r="79" ht="28" customHeight="1">
      <x:c r="A79" s="98"/>
      <x:c r="B79" s="98"/>
      <x:c r="C79" s="25"/>
      <x:c r="D79" s="25"/>
      <x:c r="E79" s="25"/>
      <x:c r="F79" s="25"/>
      <x:c r="G79" s="98"/>
      <x:c r="H79" s="25"/>
      <x:c r="I79" s="100"/>
      <x:c r="J79" s="25" t="str">
        <x:f>IF(COUNTA(A79:I79)=0,"",IF(A79="","缺少跟进ID",IF(COUNTIF($A$5:$A$104,A79)&gt;1,"跟进ID重复",IF(B79="","缺少所属工单ID",IF(COUNTIF('工单'!$A$5:$A$104,B79)=0,"所属工单ID不存在",IF(C79="","缺少记录类型",IF(D79="","缺少跟进内容","可用")))))))</x:f>
      </x:c>
    </x:row>
    <x:row r="80" ht="28" customHeight="1">
      <x:c r="A80" s="98"/>
      <x:c r="B80" s="98"/>
      <x:c r="C80" s="25"/>
      <x:c r="D80" s="25"/>
      <x:c r="E80" s="25"/>
      <x:c r="F80" s="25"/>
      <x:c r="G80" s="98"/>
      <x:c r="H80" s="25"/>
      <x:c r="I80" s="100"/>
      <x:c r="J80" s="25" t="str">
        <x:f>IF(COUNTA(A80:I80)=0,"",IF(A80="","缺少跟进ID",IF(COUNTIF($A$5:$A$104,A80)&gt;1,"跟进ID重复",IF(B80="","缺少所属工单ID",IF(COUNTIF('工单'!$A$5:$A$104,B80)=0,"所属工单ID不存在",IF(C80="","缺少记录类型",IF(D80="","缺少跟进内容","可用")))))))</x:f>
      </x:c>
    </x:row>
    <x:row r="81" ht="28" customHeight="1">
      <x:c r="A81" s="98"/>
      <x:c r="B81" s="98"/>
      <x:c r="C81" s="25"/>
      <x:c r="D81" s="25"/>
      <x:c r="E81" s="25"/>
      <x:c r="F81" s="25"/>
      <x:c r="G81" s="98"/>
      <x:c r="H81" s="25"/>
      <x:c r="I81" s="100"/>
      <x:c r="J81" s="25" t="str">
        <x:f>IF(COUNTA(A81:I81)=0,"",IF(A81="","缺少跟进ID",IF(COUNTIF($A$5:$A$104,A81)&gt;1,"跟进ID重复",IF(B81="","缺少所属工单ID",IF(COUNTIF('工单'!$A$5:$A$104,B81)=0,"所属工单ID不存在",IF(C81="","缺少记录类型",IF(D81="","缺少跟进内容","可用")))))))</x:f>
      </x:c>
    </x:row>
    <x:row r="82" ht="28" customHeight="1">
      <x:c r="A82" s="98"/>
      <x:c r="B82" s="98"/>
      <x:c r="C82" s="25"/>
      <x:c r="D82" s="25"/>
      <x:c r="E82" s="25"/>
      <x:c r="F82" s="25"/>
      <x:c r="G82" s="98"/>
      <x:c r="H82" s="25"/>
      <x:c r="I82" s="100"/>
      <x:c r="J82" s="25" t="str">
        <x:f>IF(COUNTA(A82:I82)=0,"",IF(A82="","缺少跟进ID",IF(COUNTIF($A$5:$A$104,A82)&gt;1,"跟进ID重复",IF(B82="","缺少所属工单ID",IF(COUNTIF('工单'!$A$5:$A$104,B82)=0,"所属工单ID不存在",IF(C82="","缺少记录类型",IF(D82="","缺少跟进内容","可用")))))))</x:f>
      </x:c>
    </x:row>
    <x:row r="83" ht="28" customHeight="1">
      <x:c r="A83" s="98"/>
      <x:c r="B83" s="98"/>
      <x:c r="C83" s="25"/>
      <x:c r="D83" s="25"/>
      <x:c r="E83" s="25"/>
      <x:c r="F83" s="25"/>
      <x:c r="G83" s="98"/>
      <x:c r="H83" s="25"/>
      <x:c r="I83" s="100"/>
      <x:c r="J83" s="25" t="str">
        <x:f>IF(COUNTA(A83:I83)=0,"",IF(A83="","缺少跟进ID",IF(COUNTIF($A$5:$A$104,A83)&gt;1,"跟进ID重复",IF(B83="","缺少所属工单ID",IF(COUNTIF('工单'!$A$5:$A$104,B83)=0,"所属工单ID不存在",IF(C83="","缺少记录类型",IF(D83="","缺少跟进内容","可用")))))))</x:f>
      </x:c>
    </x:row>
    <x:row r="84" ht="28" customHeight="1">
      <x:c r="A84" s="98"/>
      <x:c r="B84" s="98"/>
      <x:c r="C84" s="25"/>
      <x:c r="D84" s="25"/>
      <x:c r="E84" s="25"/>
      <x:c r="F84" s="25"/>
      <x:c r="G84" s="98"/>
      <x:c r="H84" s="25"/>
      <x:c r="I84" s="100"/>
      <x:c r="J84" s="25" t="str">
        <x:f>IF(COUNTA(A84:I84)=0,"",IF(A84="","缺少跟进ID",IF(COUNTIF($A$5:$A$104,A84)&gt;1,"跟进ID重复",IF(B84="","缺少所属工单ID",IF(COUNTIF('工单'!$A$5:$A$104,B84)=0,"所属工单ID不存在",IF(C84="","缺少记录类型",IF(D84="","缺少跟进内容","可用")))))))</x:f>
      </x:c>
    </x:row>
    <x:row r="85" ht="28" customHeight="1">
      <x:c r="A85" s="98"/>
      <x:c r="B85" s="98"/>
      <x:c r="C85" s="25"/>
      <x:c r="D85" s="25"/>
      <x:c r="E85" s="25"/>
      <x:c r="F85" s="25"/>
      <x:c r="G85" s="98"/>
      <x:c r="H85" s="25"/>
      <x:c r="I85" s="100"/>
      <x:c r="J85" s="25" t="str">
        <x:f>IF(COUNTA(A85:I85)=0,"",IF(A85="","缺少跟进ID",IF(COUNTIF($A$5:$A$104,A85)&gt;1,"跟进ID重复",IF(B85="","缺少所属工单ID",IF(COUNTIF('工单'!$A$5:$A$104,B85)=0,"所属工单ID不存在",IF(C85="","缺少记录类型",IF(D85="","缺少跟进内容","可用")))))))</x:f>
      </x:c>
    </x:row>
    <x:row r="86" ht="28" customHeight="1">
      <x:c r="A86" s="98"/>
      <x:c r="B86" s="98"/>
      <x:c r="C86" s="25"/>
      <x:c r="D86" s="25"/>
      <x:c r="E86" s="25"/>
      <x:c r="F86" s="25"/>
      <x:c r="G86" s="98"/>
      <x:c r="H86" s="25"/>
      <x:c r="I86" s="100"/>
      <x:c r="J86" s="25" t="str">
        <x:f>IF(COUNTA(A86:I86)=0,"",IF(A86="","缺少跟进ID",IF(COUNTIF($A$5:$A$104,A86)&gt;1,"跟进ID重复",IF(B86="","缺少所属工单ID",IF(COUNTIF('工单'!$A$5:$A$104,B86)=0,"所属工单ID不存在",IF(C86="","缺少记录类型",IF(D86="","缺少跟进内容","可用")))))))</x:f>
      </x:c>
    </x:row>
    <x:row r="87" ht="28" customHeight="1">
      <x:c r="A87" s="98"/>
      <x:c r="B87" s="98"/>
      <x:c r="C87" s="25"/>
      <x:c r="D87" s="25"/>
      <x:c r="E87" s="25"/>
      <x:c r="F87" s="25"/>
      <x:c r="G87" s="98"/>
      <x:c r="H87" s="25"/>
      <x:c r="I87" s="100"/>
      <x:c r="J87" s="25" t="str">
        <x:f>IF(COUNTA(A87:I87)=0,"",IF(A87="","缺少跟进ID",IF(COUNTIF($A$5:$A$104,A87)&gt;1,"跟进ID重复",IF(B87="","缺少所属工单ID",IF(COUNTIF('工单'!$A$5:$A$104,B87)=0,"所属工单ID不存在",IF(C87="","缺少记录类型",IF(D87="","缺少跟进内容","可用")))))))</x:f>
      </x:c>
    </x:row>
    <x:row r="88" ht="28" customHeight="1">
      <x:c r="A88" s="98"/>
      <x:c r="B88" s="98"/>
      <x:c r="C88" s="25"/>
      <x:c r="D88" s="25"/>
      <x:c r="E88" s="25"/>
      <x:c r="F88" s="25"/>
      <x:c r="G88" s="98"/>
      <x:c r="H88" s="25"/>
      <x:c r="I88" s="100"/>
      <x:c r="J88" s="25" t="str">
        <x:f>IF(COUNTA(A88:I88)=0,"",IF(A88="","缺少跟进ID",IF(COUNTIF($A$5:$A$104,A88)&gt;1,"跟进ID重复",IF(B88="","缺少所属工单ID",IF(COUNTIF('工单'!$A$5:$A$104,B88)=0,"所属工单ID不存在",IF(C88="","缺少记录类型",IF(D88="","缺少跟进内容","可用")))))))</x:f>
      </x:c>
    </x:row>
    <x:row r="89" ht="28" customHeight="1">
      <x:c r="A89" s="98"/>
      <x:c r="B89" s="98"/>
      <x:c r="C89" s="25"/>
      <x:c r="D89" s="25"/>
      <x:c r="E89" s="25"/>
      <x:c r="F89" s="25"/>
      <x:c r="G89" s="98"/>
      <x:c r="H89" s="25"/>
      <x:c r="I89" s="100"/>
      <x:c r="J89" s="25" t="str">
        <x:f>IF(COUNTA(A89:I89)=0,"",IF(A89="","缺少跟进ID",IF(COUNTIF($A$5:$A$104,A89)&gt;1,"跟进ID重复",IF(B89="","缺少所属工单ID",IF(COUNTIF('工单'!$A$5:$A$104,B89)=0,"所属工单ID不存在",IF(C89="","缺少记录类型",IF(D89="","缺少跟进内容","可用")))))))</x:f>
      </x:c>
    </x:row>
    <x:row r="90" ht="28" customHeight="1">
      <x:c r="A90" s="98"/>
      <x:c r="B90" s="98"/>
      <x:c r="C90" s="25"/>
      <x:c r="D90" s="25"/>
      <x:c r="E90" s="25"/>
      <x:c r="F90" s="25"/>
      <x:c r="G90" s="98"/>
      <x:c r="H90" s="25"/>
      <x:c r="I90" s="100"/>
      <x:c r="J90" s="25" t="str">
        <x:f>IF(COUNTA(A90:I90)=0,"",IF(A90="","缺少跟进ID",IF(COUNTIF($A$5:$A$104,A90)&gt;1,"跟进ID重复",IF(B90="","缺少所属工单ID",IF(COUNTIF('工单'!$A$5:$A$104,B90)=0,"所属工单ID不存在",IF(C90="","缺少记录类型",IF(D90="","缺少跟进内容","可用")))))))</x:f>
      </x:c>
    </x:row>
    <x:row r="91" ht="28" customHeight="1">
      <x:c r="A91" s="98"/>
      <x:c r="B91" s="98"/>
      <x:c r="C91" s="25"/>
      <x:c r="D91" s="25"/>
      <x:c r="E91" s="25"/>
      <x:c r="F91" s="25"/>
      <x:c r="G91" s="98"/>
      <x:c r="H91" s="25"/>
      <x:c r="I91" s="100"/>
      <x:c r="J91" s="25" t="str">
        <x:f>IF(COUNTA(A91:I91)=0,"",IF(A91="","缺少跟进ID",IF(COUNTIF($A$5:$A$104,A91)&gt;1,"跟进ID重复",IF(B91="","缺少所属工单ID",IF(COUNTIF('工单'!$A$5:$A$104,B91)=0,"所属工单ID不存在",IF(C91="","缺少记录类型",IF(D91="","缺少跟进内容","可用")))))))</x:f>
      </x:c>
    </x:row>
    <x:row r="92" ht="28" customHeight="1">
      <x:c r="A92" s="98"/>
      <x:c r="B92" s="98"/>
      <x:c r="C92" s="25"/>
      <x:c r="D92" s="25"/>
      <x:c r="E92" s="25"/>
      <x:c r="F92" s="25"/>
      <x:c r="G92" s="98"/>
      <x:c r="H92" s="25"/>
      <x:c r="I92" s="100"/>
      <x:c r="J92" s="25" t="str">
        <x:f>IF(COUNTA(A92:I92)=0,"",IF(A92="","缺少跟进ID",IF(COUNTIF($A$5:$A$104,A92)&gt;1,"跟进ID重复",IF(B92="","缺少所属工单ID",IF(COUNTIF('工单'!$A$5:$A$104,B92)=0,"所属工单ID不存在",IF(C92="","缺少记录类型",IF(D92="","缺少跟进内容","可用")))))))</x:f>
      </x:c>
    </x:row>
    <x:row r="93" ht="28" customHeight="1">
      <x:c r="A93" s="98"/>
      <x:c r="B93" s="98"/>
      <x:c r="C93" s="25"/>
      <x:c r="D93" s="25"/>
      <x:c r="E93" s="25"/>
      <x:c r="F93" s="25"/>
      <x:c r="G93" s="98"/>
      <x:c r="H93" s="25"/>
      <x:c r="I93" s="100"/>
      <x:c r="J93" s="25" t="str">
        <x:f>IF(COUNTA(A93:I93)=0,"",IF(A93="","缺少跟进ID",IF(COUNTIF($A$5:$A$104,A93)&gt;1,"跟进ID重复",IF(B93="","缺少所属工单ID",IF(COUNTIF('工单'!$A$5:$A$104,B93)=0,"所属工单ID不存在",IF(C93="","缺少记录类型",IF(D93="","缺少跟进内容","可用")))))))</x:f>
      </x:c>
    </x:row>
    <x:row r="94" ht="28" customHeight="1">
      <x:c r="A94" s="98"/>
      <x:c r="B94" s="98"/>
      <x:c r="C94" s="25"/>
      <x:c r="D94" s="25"/>
      <x:c r="E94" s="25"/>
      <x:c r="F94" s="25"/>
      <x:c r="G94" s="98"/>
      <x:c r="H94" s="25"/>
      <x:c r="I94" s="100"/>
      <x:c r="J94" s="25" t="str">
        <x:f>IF(COUNTA(A94:I94)=0,"",IF(A94="","缺少跟进ID",IF(COUNTIF($A$5:$A$104,A94)&gt;1,"跟进ID重复",IF(B94="","缺少所属工单ID",IF(COUNTIF('工单'!$A$5:$A$104,B94)=0,"所属工单ID不存在",IF(C94="","缺少记录类型",IF(D94="","缺少跟进内容","可用")))))))</x:f>
      </x:c>
    </x:row>
    <x:row r="95" ht="28" customHeight="1">
      <x:c r="A95" s="98"/>
      <x:c r="B95" s="98"/>
      <x:c r="C95" s="25"/>
      <x:c r="D95" s="25"/>
      <x:c r="E95" s="25"/>
      <x:c r="F95" s="25"/>
      <x:c r="G95" s="98"/>
      <x:c r="H95" s="25"/>
      <x:c r="I95" s="100"/>
      <x:c r="J95" s="25" t="str">
        <x:f>IF(COUNTA(A95:I95)=0,"",IF(A95="","缺少跟进ID",IF(COUNTIF($A$5:$A$104,A95)&gt;1,"跟进ID重复",IF(B95="","缺少所属工单ID",IF(COUNTIF('工单'!$A$5:$A$104,B95)=0,"所属工单ID不存在",IF(C95="","缺少记录类型",IF(D95="","缺少跟进内容","可用")))))))</x:f>
      </x:c>
    </x:row>
    <x:row r="96" ht="28" customHeight="1">
      <x:c r="A96" s="98"/>
      <x:c r="B96" s="98"/>
      <x:c r="C96" s="25"/>
      <x:c r="D96" s="25"/>
      <x:c r="E96" s="25"/>
      <x:c r="F96" s="25"/>
      <x:c r="G96" s="98"/>
      <x:c r="H96" s="25"/>
      <x:c r="I96" s="100"/>
      <x:c r="J96" s="25" t="str">
        <x:f>IF(COUNTA(A96:I96)=0,"",IF(A96="","缺少跟进ID",IF(COUNTIF($A$5:$A$104,A96)&gt;1,"跟进ID重复",IF(B96="","缺少所属工单ID",IF(COUNTIF('工单'!$A$5:$A$104,B96)=0,"所属工单ID不存在",IF(C96="","缺少记录类型",IF(D96="","缺少跟进内容","可用")))))))</x:f>
      </x:c>
    </x:row>
    <x:row r="97" ht="28" customHeight="1">
      <x:c r="A97" s="98"/>
      <x:c r="B97" s="98"/>
      <x:c r="C97" s="25"/>
      <x:c r="D97" s="25"/>
      <x:c r="E97" s="25"/>
      <x:c r="F97" s="25"/>
      <x:c r="G97" s="98"/>
      <x:c r="H97" s="25"/>
      <x:c r="I97" s="100"/>
      <x:c r="J97" s="25" t="str">
        <x:f>IF(COUNTA(A97:I97)=0,"",IF(A97="","缺少跟进ID",IF(COUNTIF($A$5:$A$104,A97)&gt;1,"跟进ID重复",IF(B97="","缺少所属工单ID",IF(COUNTIF('工单'!$A$5:$A$104,B97)=0,"所属工单ID不存在",IF(C97="","缺少记录类型",IF(D97="","缺少跟进内容","可用")))))))</x:f>
      </x:c>
    </x:row>
    <x:row r="98" ht="28" customHeight="1">
      <x:c r="A98" s="98"/>
      <x:c r="B98" s="98"/>
      <x:c r="C98" s="25"/>
      <x:c r="D98" s="25"/>
      <x:c r="E98" s="25"/>
      <x:c r="F98" s="25"/>
      <x:c r="G98" s="98"/>
      <x:c r="H98" s="25"/>
      <x:c r="I98" s="100"/>
      <x:c r="J98" s="25" t="str">
        <x:f>IF(COUNTA(A98:I98)=0,"",IF(A98="","缺少跟进ID",IF(COUNTIF($A$5:$A$104,A98)&gt;1,"跟进ID重复",IF(B98="","缺少所属工单ID",IF(COUNTIF('工单'!$A$5:$A$104,B98)=0,"所属工单ID不存在",IF(C98="","缺少记录类型",IF(D98="","缺少跟进内容","可用")))))))</x:f>
      </x:c>
    </x:row>
    <x:row r="99" ht="28" customHeight="1">
      <x:c r="A99" s="98"/>
      <x:c r="B99" s="98"/>
      <x:c r="C99" s="25"/>
      <x:c r="D99" s="25"/>
      <x:c r="E99" s="25"/>
      <x:c r="F99" s="25"/>
      <x:c r="G99" s="98"/>
      <x:c r="H99" s="25"/>
      <x:c r="I99" s="100"/>
      <x:c r="J99" s="25" t="str">
        <x:f>IF(COUNTA(A99:I99)=0,"",IF(A99="","缺少跟进ID",IF(COUNTIF($A$5:$A$104,A99)&gt;1,"跟进ID重复",IF(B99="","缺少所属工单ID",IF(COUNTIF('工单'!$A$5:$A$104,B99)=0,"所属工单ID不存在",IF(C99="","缺少记录类型",IF(D99="","缺少跟进内容","可用")))))))</x:f>
      </x:c>
    </x:row>
    <x:row r="100" ht="28" customHeight="1">
      <x:c r="A100" s="98"/>
      <x:c r="B100" s="98"/>
      <x:c r="C100" s="25"/>
      <x:c r="D100" s="25"/>
      <x:c r="E100" s="25"/>
      <x:c r="F100" s="25"/>
      <x:c r="G100" s="98"/>
      <x:c r="H100" s="25"/>
      <x:c r="I100" s="100"/>
      <x:c r="J100" s="25" t="str">
        <x:f>IF(COUNTA(A100:I100)=0,"",IF(A100="","缺少跟进ID",IF(COUNTIF($A$5:$A$104,A100)&gt;1,"跟进ID重复",IF(B100="","缺少所属工单ID",IF(COUNTIF('工单'!$A$5:$A$104,B100)=0,"所属工单ID不存在",IF(C100="","缺少记录类型",IF(D100="","缺少跟进内容","可用")))))))</x:f>
      </x:c>
    </x:row>
    <x:row r="101" ht="28" customHeight="1">
      <x:c r="A101" s="98"/>
      <x:c r="B101" s="98"/>
      <x:c r="C101" s="25"/>
      <x:c r="D101" s="25"/>
      <x:c r="E101" s="25"/>
      <x:c r="F101" s="25"/>
      <x:c r="G101" s="98"/>
      <x:c r="H101" s="25"/>
      <x:c r="I101" s="100"/>
      <x:c r="J101" s="25" t="str">
        <x:f>IF(COUNTA(A101:I101)=0,"",IF(A101="","缺少跟进ID",IF(COUNTIF($A$5:$A$104,A101)&gt;1,"跟进ID重复",IF(B101="","缺少所属工单ID",IF(COUNTIF('工单'!$A$5:$A$104,B101)=0,"所属工单ID不存在",IF(C101="","缺少记录类型",IF(D101="","缺少跟进内容","可用")))))))</x:f>
      </x:c>
    </x:row>
    <x:row r="102" ht="28" customHeight="1">
      <x:c r="A102" s="98"/>
      <x:c r="B102" s="98"/>
      <x:c r="C102" s="25"/>
      <x:c r="D102" s="25"/>
      <x:c r="E102" s="25"/>
      <x:c r="F102" s="25"/>
      <x:c r="G102" s="98"/>
      <x:c r="H102" s="25"/>
      <x:c r="I102" s="100"/>
      <x:c r="J102" s="25" t="str">
        <x:f>IF(COUNTA(A102:I102)=0,"",IF(A102="","缺少跟进ID",IF(COUNTIF($A$5:$A$104,A102)&gt;1,"跟进ID重复",IF(B102="","缺少所属工单ID",IF(COUNTIF('工单'!$A$5:$A$104,B102)=0,"所属工单ID不存在",IF(C102="","缺少记录类型",IF(D102="","缺少跟进内容","可用")))))))</x:f>
      </x:c>
    </x:row>
    <x:row r="103" ht="28" customHeight="1">
      <x:c r="A103" s="98"/>
      <x:c r="B103" s="98"/>
      <x:c r="C103" s="25"/>
      <x:c r="D103" s="25"/>
      <x:c r="E103" s="25"/>
      <x:c r="F103" s="25"/>
      <x:c r="G103" s="98"/>
      <x:c r="H103" s="25"/>
      <x:c r="I103" s="100"/>
      <x:c r="J103" s="25" t="str">
        <x:f>IF(COUNTA(A103:I103)=0,"",IF(A103="","缺少跟进ID",IF(COUNTIF($A$5:$A$104,A103)&gt;1,"跟进ID重复",IF(B103="","缺少所属工单ID",IF(COUNTIF('工单'!$A$5:$A$104,B103)=0,"所属工单ID不存在",IF(C103="","缺少记录类型",IF(D103="","缺少跟进内容","可用")))))))</x:f>
      </x:c>
    </x:row>
    <x:row r="104" ht="28" customHeight="1">
      <x:c r="A104" s="98"/>
      <x:c r="B104" s="98"/>
      <x:c r="C104" s="25"/>
      <x:c r="D104" s="25"/>
      <x:c r="E104" s="25"/>
      <x:c r="F104" s="25"/>
      <x:c r="G104" s="98"/>
      <x:c r="H104" s="25"/>
      <x:c r="I104" s="100"/>
      <x:c r="J104" s="25" t="str">
        <x:f>IF(COUNTA(A104:I104)=0,"",IF(A104="","缺少跟进ID",IF(COUNTIF($A$5:$A$104,A104)&gt;1,"跟进ID重复",IF(B104="","缺少所属工单ID",IF(COUNTIF('工单'!$A$5:$A$104,B104)=0,"所属工单ID不存在",IF(C104="","缺少记录类型",IF(D104="","缺少跟进内容","可用")))))))</x:f>
      </x:c>
    </x:row>
  </x:sheetData>
  <x:mergeCells>
    <x:mergeCell ref="A1:J1"/>
    <x:mergeCell ref="A2:J2"/>
    <x:mergeCell ref="A3:J3"/>
  </x:mergeCells>
  <x:conditionalFormatting sqref="J5:J104">
    <x:cfRule type="containsText" dxfId="3" priority="1" operator="containsText" text="可用"/>
    <x:cfRule type="containsText" dxfId="4" priority="2" operator="containsText" text="缺少"/>
    <x:cfRule type="containsText" dxfId="5" priority="3" operator="containsText" text="重复"/>
  </x:conditionalFormatting>
  <x:dataValidations count="2">
    <x:dataValidation type="list" sqref="C5:C104">
      <x:formula1>"created,status_change,follow_up"</x:formula1>
    </x:dataValidation>
    <x:dataValidation type="list" sqref="E5:F104">
      <x:formula1>"未开始,跟进中,阶段性完成,已完结"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21" hidden="0" customWidth="1"/>
    <x:col min="4" max="4" width="30" hidden="0" customWidth="1"/>
    <x:col min="5" max="5" width="55" hidden="0" customWidth="1"/>
    <x:col min="6" max="6" width="17" hidden="0" customWidth="1"/>
  </x:cols>
  <x:sheetData>
    <x:row r="1" ht="34" customHeight="1">
      <x:c r="A1" s="4" t="str">
        <x:v>知识库</x:v>
      </x:c>
      <x:c r="B1" s="4"/>
      <x:c r="C1" s="4"/>
      <x:c r="D1" s="4"/>
      <x:c r="E1" s="4"/>
      <x:c r="F1" s="4"/>
    </x:row>
    <x:row r="2" ht="42" customHeight="1">
      <x:c r="A2" s="8" t="str">
        <x:v>每行一条知识；知识 ID 和标题为必填。橙色第 5 行为示例，请替换或删除。 </x:v>
      </x:c>
      <x:c r="B2" s="8"/>
      <x:c r="C2" s="8"/>
      <x:c r="D2" s="8"/>
      <x:c r="E2" s="8"/>
      <x:c r="F2" s="8"/>
    </x:row>
    <x:row r="3" ht="34" customHeight="1">
      <x:c r="A3" s="66" t="str">
        <x:v>填写提示：编码可填写系统错误码、业务规则编码或内部编号；内容可填写解决方法、口径和注意事项。</x:v>
      </x:c>
      <x:c r="B3" s="66"/>
      <x:c r="C3" s="66"/>
      <x:c r="D3" s="66"/>
      <x:c r="E3" s="66"/>
      <x:c r="F3" s="66"/>
    </x:row>
    <x:row r="4" ht="28" customHeight="1">
      <x:c r="A4" s="44" t="str">
        <x:v>知识 ID（id）*</x:v>
      </x:c>
      <x:c r="B4" s="44" t="str">
        <x:v>知识域（domain）</x:v>
      </x:c>
      <x:c r="C4" s="44" t="str">
        <x:v>编码（code）</x:v>
      </x:c>
      <x:c r="D4" s="44" t="str">
        <x:v>标题（title）*</x:v>
      </x:c>
      <x:c r="E4" s="44" t="str">
        <x:v>内容（content）</x:v>
      </x:c>
      <x:c r="F4" s="44" t="str">
        <x:v>填写检查</x:v>
      </x:c>
    </x:row>
    <x:row r="5" ht="28" customHeight="1">
      <x:c r="A5" s="94" t="str">
        <x:v>KW-0001</x:v>
      </x:c>
      <x:c r="B5" s="95" t="str">
        <x:v>财务与分账</x:v>
      </x:c>
      <x:c r="C5" s="94" t="str">
        <x:v>B107-B119</x:v>
      </x:c>
      <x:c r="D5" s="95" t="str">
        <x:v>营业额计算公式</x:v>
      </x:c>
      <x:c r="E5" s="95" t="str">
        <x:v>营业额=商品销售总额-退款金额</x:v>
      </x:c>
      <x:c r="F5" s="95" t="str">
        <x:f>IF(COUNTA(A5:E5)=0,"",IF(A5="","缺少知识ID",IF(COUNTIF($A$5:$A$104,A5)&gt;1,"知识ID重复",IF(D5="","缺少标题","可用"))))</x:f>
        <x:v>可用</x:v>
      </x:c>
    </x:row>
    <x:row r="6" ht="28" customHeight="1">
      <x:c r="A6" s="98"/>
      <x:c r="B6" s="25"/>
      <x:c r="C6" s="98"/>
      <x:c r="D6" s="25"/>
      <x:c r="E6" s="25"/>
      <x:c r="F6" s="25" t="str">
        <x:f>IF(COUNTA(A6:E6)=0,"",IF(A6="","缺少知识ID",IF(COUNTIF($A$5:$A$104,A6)&gt;1,"知识ID重复",IF(D6="","缺少标题","可用"))))</x:f>
      </x:c>
    </x:row>
    <x:row r="7" ht="28" customHeight="1">
      <x:c r="A7" s="98"/>
      <x:c r="B7" s="25"/>
      <x:c r="C7" s="98"/>
      <x:c r="D7" s="25"/>
      <x:c r="E7" s="25"/>
      <x:c r="F7" s="25" t="str">
        <x:f>IF(COUNTA(A7:E7)=0,"",IF(A7="","缺少知识ID",IF(COUNTIF($A$5:$A$104,A7)&gt;1,"知识ID重复",IF(D7="","缺少标题","可用"))))</x:f>
      </x:c>
    </x:row>
    <x:row r="8" ht="28" customHeight="1">
      <x:c r="A8" s="98"/>
      <x:c r="B8" s="25"/>
      <x:c r="C8" s="98"/>
      <x:c r="D8" s="25"/>
      <x:c r="E8" s="25"/>
      <x:c r="F8" s="25" t="str">
        <x:f>IF(COUNTA(A8:E8)=0,"",IF(A8="","缺少知识ID",IF(COUNTIF($A$5:$A$104,A8)&gt;1,"知识ID重复",IF(D8="","缺少标题","可用"))))</x:f>
      </x:c>
    </x:row>
    <x:row r="9" ht="28" customHeight="1">
      <x:c r="A9" s="98"/>
      <x:c r="B9" s="25"/>
      <x:c r="C9" s="98"/>
      <x:c r="D9" s="25"/>
      <x:c r="E9" s="25"/>
      <x:c r="F9" s="25" t="str">
        <x:f>IF(COUNTA(A9:E9)=0,"",IF(A9="","缺少知识ID",IF(COUNTIF($A$5:$A$104,A9)&gt;1,"知识ID重复",IF(D9="","缺少标题","可用"))))</x:f>
      </x:c>
    </x:row>
    <x:row r="10" ht="28" customHeight="1">
      <x:c r="A10" s="98"/>
      <x:c r="B10" s="25"/>
      <x:c r="C10" s="98"/>
      <x:c r="D10" s="25"/>
      <x:c r="E10" s="25"/>
      <x:c r="F10" s="25" t="str">
        <x:f>IF(COUNTA(A10:E10)=0,"",IF(A10="","缺少知识ID",IF(COUNTIF($A$5:$A$104,A10)&gt;1,"知识ID重复",IF(D10="","缺少标题","可用"))))</x:f>
      </x:c>
    </x:row>
    <x:row r="11" ht="28" customHeight="1">
      <x:c r="A11" s="98"/>
      <x:c r="B11" s="25"/>
      <x:c r="C11" s="98"/>
      <x:c r="D11" s="25"/>
      <x:c r="E11" s="25"/>
      <x:c r="F11" s="25" t="str">
        <x:f>IF(COUNTA(A11:E11)=0,"",IF(A11="","缺少知识ID",IF(COUNTIF($A$5:$A$104,A11)&gt;1,"知识ID重复",IF(D11="","缺少标题","可用"))))</x:f>
      </x:c>
    </x:row>
    <x:row r="12" ht="28" customHeight="1">
      <x:c r="A12" s="98"/>
      <x:c r="B12" s="25"/>
      <x:c r="C12" s="98"/>
      <x:c r="D12" s="25"/>
      <x:c r="E12" s="25"/>
      <x:c r="F12" s="25" t="str">
        <x:f>IF(COUNTA(A12:E12)=0,"",IF(A12="","缺少知识ID",IF(COUNTIF($A$5:$A$104,A12)&gt;1,"知识ID重复",IF(D12="","缺少标题","可用"))))</x:f>
      </x:c>
    </x:row>
    <x:row r="13" ht="28" customHeight="1">
      <x:c r="A13" s="98"/>
      <x:c r="B13" s="25"/>
      <x:c r="C13" s="98"/>
      <x:c r="D13" s="25"/>
      <x:c r="E13" s="25"/>
      <x:c r="F13" s="25" t="str">
        <x:f>IF(COUNTA(A13:E13)=0,"",IF(A13="","缺少知识ID",IF(COUNTIF($A$5:$A$104,A13)&gt;1,"知识ID重复",IF(D13="","缺少标题","可用"))))</x:f>
      </x:c>
    </x:row>
    <x:row r="14" ht="28" customHeight="1">
      <x:c r="A14" s="98"/>
      <x:c r="B14" s="25"/>
      <x:c r="C14" s="98"/>
      <x:c r="D14" s="25"/>
      <x:c r="E14" s="25"/>
      <x:c r="F14" s="25" t="str">
        <x:f>IF(COUNTA(A14:E14)=0,"",IF(A14="","缺少知识ID",IF(COUNTIF($A$5:$A$104,A14)&gt;1,"知识ID重复",IF(D14="","缺少标题","可用"))))</x:f>
      </x:c>
    </x:row>
    <x:row r="15" ht="28" customHeight="1">
      <x:c r="A15" s="98"/>
      <x:c r="B15" s="25"/>
      <x:c r="C15" s="98"/>
      <x:c r="D15" s="25"/>
      <x:c r="E15" s="25"/>
      <x:c r="F15" s="25" t="str">
        <x:f>IF(COUNTA(A15:E15)=0,"",IF(A15="","缺少知识ID",IF(COUNTIF($A$5:$A$104,A15)&gt;1,"知识ID重复",IF(D15="","缺少标题","可用"))))</x:f>
      </x:c>
    </x:row>
    <x:row r="16" ht="28" customHeight="1">
      <x:c r="A16" s="98"/>
      <x:c r="B16" s="25"/>
      <x:c r="C16" s="98"/>
      <x:c r="D16" s="25"/>
      <x:c r="E16" s="25"/>
      <x:c r="F16" s="25" t="str">
        <x:f>IF(COUNTA(A16:E16)=0,"",IF(A16="","缺少知识ID",IF(COUNTIF($A$5:$A$104,A16)&gt;1,"知识ID重复",IF(D16="","缺少标题","可用"))))</x:f>
      </x:c>
    </x:row>
    <x:row r="17" ht="28" customHeight="1">
      <x:c r="A17" s="98"/>
      <x:c r="B17" s="25"/>
      <x:c r="C17" s="98"/>
      <x:c r="D17" s="25"/>
      <x:c r="E17" s="25"/>
      <x:c r="F17" s="25" t="str">
        <x:f>IF(COUNTA(A17:E17)=0,"",IF(A17="","缺少知识ID",IF(COUNTIF($A$5:$A$104,A17)&gt;1,"知识ID重复",IF(D17="","缺少标题","可用"))))</x:f>
      </x:c>
    </x:row>
    <x:row r="18" ht="28" customHeight="1">
      <x:c r="A18" s="98"/>
      <x:c r="B18" s="25"/>
      <x:c r="C18" s="98"/>
      <x:c r="D18" s="25"/>
      <x:c r="E18" s="25"/>
      <x:c r="F18" s="25" t="str">
        <x:f>IF(COUNTA(A18:E18)=0,"",IF(A18="","缺少知识ID",IF(COUNTIF($A$5:$A$104,A18)&gt;1,"知识ID重复",IF(D18="","缺少标题","可用"))))</x:f>
      </x:c>
    </x:row>
    <x:row r="19" ht="28" customHeight="1">
      <x:c r="A19" s="98"/>
      <x:c r="B19" s="25"/>
      <x:c r="C19" s="98"/>
      <x:c r="D19" s="25"/>
      <x:c r="E19" s="25"/>
      <x:c r="F19" s="25" t="str">
        <x:f>IF(COUNTA(A19:E19)=0,"",IF(A19="","缺少知识ID",IF(COUNTIF($A$5:$A$104,A19)&gt;1,"知识ID重复",IF(D19="","缺少标题","可用"))))</x:f>
      </x:c>
    </x:row>
    <x:row r="20" ht="28" customHeight="1">
      <x:c r="A20" s="98"/>
      <x:c r="B20" s="25"/>
      <x:c r="C20" s="98"/>
      <x:c r="D20" s="25"/>
      <x:c r="E20" s="25"/>
      <x:c r="F20" s="25" t="str">
        <x:f>IF(COUNTA(A20:E20)=0,"",IF(A20="","缺少知识ID",IF(COUNTIF($A$5:$A$104,A20)&gt;1,"知识ID重复",IF(D20="","缺少标题","可用"))))</x:f>
      </x:c>
    </x:row>
    <x:row r="21" ht="28" customHeight="1">
      <x:c r="A21" s="98"/>
      <x:c r="B21" s="25"/>
      <x:c r="C21" s="98"/>
      <x:c r="D21" s="25"/>
      <x:c r="E21" s="25"/>
      <x:c r="F21" s="25" t="str">
        <x:f>IF(COUNTA(A21:E21)=0,"",IF(A21="","缺少知识ID",IF(COUNTIF($A$5:$A$104,A21)&gt;1,"知识ID重复",IF(D21="","缺少标题","可用"))))</x:f>
      </x:c>
    </x:row>
    <x:row r="22" ht="28" customHeight="1">
      <x:c r="A22" s="98"/>
      <x:c r="B22" s="25"/>
      <x:c r="C22" s="98"/>
      <x:c r="D22" s="25"/>
      <x:c r="E22" s="25"/>
      <x:c r="F22" s="25" t="str">
        <x:f>IF(COUNTA(A22:E22)=0,"",IF(A22="","缺少知识ID",IF(COUNTIF($A$5:$A$104,A22)&gt;1,"知识ID重复",IF(D22="","缺少标题","可用"))))</x:f>
      </x:c>
    </x:row>
    <x:row r="23" ht="28" customHeight="1">
      <x:c r="A23" s="98"/>
      <x:c r="B23" s="25"/>
      <x:c r="C23" s="98"/>
      <x:c r="D23" s="25"/>
      <x:c r="E23" s="25"/>
      <x:c r="F23" s="25" t="str">
        <x:f>IF(COUNTA(A23:E23)=0,"",IF(A23="","缺少知识ID",IF(COUNTIF($A$5:$A$104,A23)&gt;1,"知识ID重复",IF(D23="","缺少标题","可用"))))</x:f>
      </x:c>
    </x:row>
    <x:row r="24" ht="28" customHeight="1">
      <x:c r="A24" s="98"/>
      <x:c r="B24" s="25"/>
      <x:c r="C24" s="98"/>
      <x:c r="D24" s="25"/>
      <x:c r="E24" s="25"/>
      <x:c r="F24" s="25" t="str">
        <x:f>IF(COUNTA(A24:E24)=0,"",IF(A24="","缺少知识ID",IF(COUNTIF($A$5:$A$104,A24)&gt;1,"知识ID重复",IF(D24="","缺少标题","可用"))))</x:f>
      </x:c>
    </x:row>
    <x:row r="25" ht="28" customHeight="1">
      <x:c r="A25" s="98"/>
      <x:c r="B25" s="25"/>
      <x:c r="C25" s="98"/>
      <x:c r="D25" s="25"/>
      <x:c r="E25" s="25"/>
      <x:c r="F25" s="25" t="str">
        <x:f>IF(COUNTA(A25:E25)=0,"",IF(A25="","缺少知识ID",IF(COUNTIF($A$5:$A$104,A25)&gt;1,"知识ID重复",IF(D25="","缺少标题","可用"))))</x:f>
      </x:c>
    </x:row>
    <x:row r="26" ht="28" customHeight="1">
      <x:c r="A26" s="98"/>
      <x:c r="B26" s="25"/>
      <x:c r="C26" s="98"/>
      <x:c r="D26" s="25"/>
      <x:c r="E26" s="25"/>
      <x:c r="F26" s="25" t="str">
        <x:f>IF(COUNTA(A26:E26)=0,"",IF(A26="","缺少知识ID",IF(COUNTIF($A$5:$A$104,A26)&gt;1,"知识ID重复",IF(D26="","缺少标题","可用"))))</x:f>
      </x:c>
    </x:row>
    <x:row r="27" ht="28" customHeight="1">
      <x:c r="A27" s="98"/>
      <x:c r="B27" s="25"/>
      <x:c r="C27" s="98"/>
      <x:c r="D27" s="25"/>
      <x:c r="E27" s="25"/>
      <x:c r="F27" s="25" t="str">
        <x:f>IF(COUNTA(A27:E27)=0,"",IF(A27="","缺少知识ID",IF(COUNTIF($A$5:$A$104,A27)&gt;1,"知识ID重复",IF(D27="","缺少标题","可用"))))</x:f>
      </x:c>
    </x:row>
    <x:row r="28" ht="28" customHeight="1">
      <x:c r="A28" s="98"/>
      <x:c r="B28" s="25"/>
      <x:c r="C28" s="98"/>
      <x:c r="D28" s="25"/>
      <x:c r="E28" s="25"/>
      <x:c r="F28" s="25" t="str">
        <x:f>IF(COUNTA(A28:E28)=0,"",IF(A28="","缺少知识ID",IF(COUNTIF($A$5:$A$104,A28)&gt;1,"知识ID重复",IF(D28="","缺少标题","可用"))))</x:f>
      </x:c>
    </x:row>
    <x:row r="29" ht="28" customHeight="1">
      <x:c r="A29" s="98"/>
      <x:c r="B29" s="25"/>
      <x:c r="C29" s="98"/>
      <x:c r="D29" s="25"/>
      <x:c r="E29" s="25"/>
      <x:c r="F29" s="25" t="str">
        <x:f>IF(COUNTA(A29:E29)=0,"",IF(A29="","缺少知识ID",IF(COUNTIF($A$5:$A$104,A29)&gt;1,"知识ID重复",IF(D29="","缺少标题","可用"))))</x:f>
      </x:c>
    </x:row>
    <x:row r="30" ht="28" customHeight="1">
      <x:c r="A30" s="98"/>
      <x:c r="B30" s="25"/>
      <x:c r="C30" s="98"/>
      <x:c r="D30" s="25"/>
      <x:c r="E30" s="25"/>
      <x:c r="F30" s="25" t="str">
        <x:f>IF(COUNTA(A30:E30)=0,"",IF(A30="","缺少知识ID",IF(COUNTIF($A$5:$A$104,A30)&gt;1,"知识ID重复",IF(D30="","缺少标题","可用"))))</x:f>
      </x:c>
    </x:row>
    <x:row r="31" ht="28" customHeight="1">
      <x:c r="A31" s="98"/>
      <x:c r="B31" s="25"/>
      <x:c r="C31" s="98"/>
      <x:c r="D31" s="25"/>
      <x:c r="E31" s="25"/>
      <x:c r="F31" s="25" t="str">
        <x:f>IF(COUNTA(A31:E31)=0,"",IF(A31="","缺少知识ID",IF(COUNTIF($A$5:$A$104,A31)&gt;1,"知识ID重复",IF(D31="","缺少标题","可用"))))</x:f>
      </x:c>
    </x:row>
    <x:row r="32" ht="28" customHeight="1">
      <x:c r="A32" s="98"/>
      <x:c r="B32" s="25"/>
      <x:c r="C32" s="98"/>
      <x:c r="D32" s="25"/>
      <x:c r="E32" s="25"/>
      <x:c r="F32" s="25" t="str">
        <x:f>IF(COUNTA(A32:E32)=0,"",IF(A32="","缺少知识ID",IF(COUNTIF($A$5:$A$104,A32)&gt;1,"知识ID重复",IF(D32="","缺少标题","可用"))))</x:f>
      </x:c>
    </x:row>
    <x:row r="33" ht="28" customHeight="1">
      <x:c r="A33" s="98"/>
      <x:c r="B33" s="25"/>
      <x:c r="C33" s="98"/>
      <x:c r="D33" s="25"/>
      <x:c r="E33" s="25"/>
      <x:c r="F33" s="25" t="str">
        <x:f>IF(COUNTA(A33:E33)=0,"",IF(A33="","缺少知识ID",IF(COUNTIF($A$5:$A$104,A33)&gt;1,"知识ID重复",IF(D33="","缺少标题","可用"))))</x:f>
      </x:c>
    </x:row>
    <x:row r="34" ht="28" customHeight="1">
      <x:c r="A34" s="98"/>
      <x:c r="B34" s="25"/>
      <x:c r="C34" s="98"/>
      <x:c r="D34" s="25"/>
      <x:c r="E34" s="25"/>
      <x:c r="F34" s="25" t="str">
        <x:f>IF(COUNTA(A34:E34)=0,"",IF(A34="","缺少知识ID",IF(COUNTIF($A$5:$A$104,A34)&gt;1,"知识ID重复",IF(D34="","缺少标题","可用"))))</x:f>
      </x:c>
    </x:row>
    <x:row r="35" ht="28" customHeight="1">
      <x:c r="A35" s="98"/>
      <x:c r="B35" s="25"/>
      <x:c r="C35" s="98"/>
      <x:c r="D35" s="25"/>
      <x:c r="E35" s="25"/>
      <x:c r="F35" s="25" t="str">
        <x:f>IF(COUNTA(A35:E35)=0,"",IF(A35="","缺少知识ID",IF(COUNTIF($A$5:$A$104,A35)&gt;1,"知识ID重复",IF(D35="","缺少标题","可用"))))</x:f>
      </x:c>
    </x:row>
    <x:row r="36" ht="28" customHeight="1">
      <x:c r="A36" s="98"/>
      <x:c r="B36" s="25"/>
      <x:c r="C36" s="98"/>
      <x:c r="D36" s="25"/>
      <x:c r="E36" s="25"/>
      <x:c r="F36" s="25" t="str">
        <x:f>IF(COUNTA(A36:E36)=0,"",IF(A36="","缺少知识ID",IF(COUNTIF($A$5:$A$104,A36)&gt;1,"知识ID重复",IF(D36="","缺少标题","可用"))))</x:f>
      </x:c>
    </x:row>
    <x:row r="37" ht="28" customHeight="1">
      <x:c r="A37" s="98"/>
      <x:c r="B37" s="25"/>
      <x:c r="C37" s="98"/>
      <x:c r="D37" s="25"/>
      <x:c r="E37" s="25"/>
      <x:c r="F37" s="25" t="str">
        <x:f>IF(COUNTA(A37:E37)=0,"",IF(A37="","缺少知识ID",IF(COUNTIF($A$5:$A$104,A37)&gt;1,"知识ID重复",IF(D37="","缺少标题","可用"))))</x:f>
      </x:c>
    </x:row>
    <x:row r="38" ht="28" customHeight="1">
      <x:c r="A38" s="98"/>
      <x:c r="B38" s="25"/>
      <x:c r="C38" s="98"/>
      <x:c r="D38" s="25"/>
      <x:c r="E38" s="25"/>
      <x:c r="F38" s="25" t="str">
        <x:f>IF(COUNTA(A38:E38)=0,"",IF(A38="","缺少知识ID",IF(COUNTIF($A$5:$A$104,A38)&gt;1,"知识ID重复",IF(D38="","缺少标题","可用"))))</x:f>
      </x:c>
    </x:row>
    <x:row r="39" ht="28" customHeight="1">
      <x:c r="A39" s="98"/>
      <x:c r="B39" s="25"/>
      <x:c r="C39" s="98"/>
      <x:c r="D39" s="25"/>
      <x:c r="E39" s="25"/>
      <x:c r="F39" s="25" t="str">
        <x:f>IF(COUNTA(A39:E39)=0,"",IF(A39="","缺少知识ID",IF(COUNTIF($A$5:$A$104,A39)&gt;1,"知识ID重复",IF(D39="","缺少标题","可用"))))</x:f>
      </x:c>
    </x:row>
    <x:row r="40" ht="28" customHeight="1">
      <x:c r="A40" s="98"/>
      <x:c r="B40" s="25"/>
      <x:c r="C40" s="98"/>
      <x:c r="D40" s="25"/>
      <x:c r="E40" s="25"/>
      <x:c r="F40" s="25" t="str">
        <x:f>IF(COUNTA(A40:E40)=0,"",IF(A40="","缺少知识ID",IF(COUNTIF($A$5:$A$104,A40)&gt;1,"知识ID重复",IF(D40="","缺少标题","可用"))))</x:f>
      </x:c>
    </x:row>
    <x:row r="41" ht="28" customHeight="1">
      <x:c r="A41" s="98"/>
      <x:c r="B41" s="25"/>
      <x:c r="C41" s="98"/>
      <x:c r="D41" s="25"/>
      <x:c r="E41" s="25"/>
      <x:c r="F41" s="25" t="str">
        <x:f>IF(COUNTA(A41:E41)=0,"",IF(A41="","缺少知识ID",IF(COUNTIF($A$5:$A$104,A41)&gt;1,"知识ID重复",IF(D41="","缺少标题","可用"))))</x:f>
      </x:c>
    </x:row>
    <x:row r="42" ht="28" customHeight="1">
      <x:c r="A42" s="98"/>
      <x:c r="B42" s="25"/>
      <x:c r="C42" s="98"/>
      <x:c r="D42" s="25"/>
      <x:c r="E42" s="25"/>
      <x:c r="F42" s="25" t="str">
        <x:f>IF(COUNTA(A42:E42)=0,"",IF(A42="","缺少知识ID",IF(COUNTIF($A$5:$A$104,A42)&gt;1,"知识ID重复",IF(D42="","缺少标题","可用"))))</x:f>
      </x:c>
    </x:row>
    <x:row r="43" ht="28" customHeight="1">
      <x:c r="A43" s="98"/>
      <x:c r="B43" s="25"/>
      <x:c r="C43" s="98"/>
      <x:c r="D43" s="25"/>
      <x:c r="E43" s="25"/>
      <x:c r="F43" s="25" t="str">
        <x:f>IF(COUNTA(A43:E43)=0,"",IF(A43="","缺少知识ID",IF(COUNTIF($A$5:$A$104,A43)&gt;1,"知识ID重复",IF(D43="","缺少标题","可用"))))</x:f>
      </x:c>
    </x:row>
    <x:row r="44" ht="28" customHeight="1">
      <x:c r="A44" s="98"/>
      <x:c r="B44" s="25"/>
      <x:c r="C44" s="98"/>
      <x:c r="D44" s="25"/>
      <x:c r="E44" s="25"/>
      <x:c r="F44" s="25" t="str">
        <x:f>IF(COUNTA(A44:E44)=0,"",IF(A44="","缺少知识ID",IF(COUNTIF($A$5:$A$104,A44)&gt;1,"知识ID重复",IF(D44="","缺少标题","可用"))))</x:f>
      </x:c>
    </x:row>
    <x:row r="45" ht="28" customHeight="1">
      <x:c r="A45" s="98"/>
      <x:c r="B45" s="25"/>
      <x:c r="C45" s="98"/>
      <x:c r="D45" s="25"/>
      <x:c r="E45" s="25"/>
      <x:c r="F45" s="25" t="str">
        <x:f>IF(COUNTA(A45:E45)=0,"",IF(A45="","缺少知识ID",IF(COUNTIF($A$5:$A$104,A45)&gt;1,"知识ID重复",IF(D45="","缺少标题","可用"))))</x:f>
      </x:c>
    </x:row>
    <x:row r="46" ht="28" customHeight="1">
      <x:c r="A46" s="98"/>
      <x:c r="B46" s="25"/>
      <x:c r="C46" s="98"/>
      <x:c r="D46" s="25"/>
      <x:c r="E46" s="25"/>
      <x:c r="F46" s="25" t="str">
        <x:f>IF(COUNTA(A46:E46)=0,"",IF(A46="","缺少知识ID",IF(COUNTIF($A$5:$A$104,A46)&gt;1,"知识ID重复",IF(D46="","缺少标题","可用"))))</x:f>
      </x:c>
    </x:row>
    <x:row r="47" ht="28" customHeight="1">
      <x:c r="A47" s="98"/>
      <x:c r="B47" s="25"/>
      <x:c r="C47" s="98"/>
      <x:c r="D47" s="25"/>
      <x:c r="E47" s="25"/>
      <x:c r="F47" s="25" t="str">
        <x:f>IF(COUNTA(A47:E47)=0,"",IF(A47="","缺少知识ID",IF(COUNTIF($A$5:$A$104,A47)&gt;1,"知识ID重复",IF(D47="","缺少标题","可用"))))</x:f>
      </x:c>
    </x:row>
    <x:row r="48" ht="28" customHeight="1">
      <x:c r="A48" s="98"/>
      <x:c r="B48" s="25"/>
      <x:c r="C48" s="98"/>
      <x:c r="D48" s="25"/>
      <x:c r="E48" s="25"/>
      <x:c r="F48" s="25" t="str">
        <x:f>IF(COUNTA(A48:E48)=0,"",IF(A48="","缺少知识ID",IF(COUNTIF($A$5:$A$104,A48)&gt;1,"知识ID重复",IF(D48="","缺少标题","可用"))))</x:f>
      </x:c>
    </x:row>
    <x:row r="49" ht="28" customHeight="1">
      <x:c r="A49" s="98"/>
      <x:c r="B49" s="25"/>
      <x:c r="C49" s="98"/>
      <x:c r="D49" s="25"/>
      <x:c r="E49" s="25"/>
      <x:c r="F49" s="25" t="str">
        <x:f>IF(COUNTA(A49:E49)=0,"",IF(A49="","缺少知识ID",IF(COUNTIF($A$5:$A$104,A49)&gt;1,"知识ID重复",IF(D49="","缺少标题","可用"))))</x:f>
      </x:c>
    </x:row>
    <x:row r="50" ht="28" customHeight="1">
      <x:c r="A50" s="98"/>
      <x:c r="B50" s="25"/>
      <x:c r="C50" s="98"/>
      <x:c r="D50" s="25"/>
      <x:c r="E50" s="25"/>
      <x:c r="F50" s="25" t="str">
        <x:f>IF(COUNTA(A50:E50)=0,"",IF(A50="","缺少知识ID",IF(COUNTIF($A$5:$A$104,A50)&gt;1,"知识ID重复",IF(D50="","缺少标题","可用"))))</x:f>
      </x:c>
    </x:row>
    <x:row r="51" ht="28" customHeight="1">
      <x:c r="A51" s="98"/>
      <x:c r="B51" s="25"/>
      <x:c r="C51" s="98"/>
      <x:c r="D51" s="25"/>
      <x:c r="E51" s="25"/>
      <x:c r="F51" s="25" t="str">
        <x:f>IF(COUNTA(A51:E51)=0,"",IF(A51="","缺少知识ID",IF(COUNTIF($A$5:$A$104,A51)&gt;1,"知识ID重复",IF(D51="","缺少标题","可用"))))</x:f>
      </x:c>
    </x:row>
    <x:row r="52" ht="28" customHeight="1">
      <x:c r="A52" s="98"/>
      <x:c r="B52" s="25"/>
      <x:c r="C52" s="98"/>
      <x:c r="D52" s="25"/>
      <x:c r="E52" s="25"/>
      <x:c r="F52" s="25" t="str">
        <x:f>IF(COUNTA(A52:E52)=0,"",IF(A52="","缺少知识ID",IF(COUNTIF($A$5:$A$104,A52)&gt;1,"知识ID重复",IF(D52="","缺少标题","可用"))))</x:f>
      </x:c>
    </x:row>
    <x:row r="53" ht="28" customHeight="1">
      <x:c r="A53" s="98"/>
      <x:c r="B53" s="25"/>
      <x:c r="C53" s="98"/>
      <x:c r="D53" s="25"/>
      <x:c r="E53" s="25"/>
      <x:c r="F53" s="25" t="str">
        <x:f>IF(COUNTA(A53:E53)=0,"",IF(A53="","缺少知识ID",IF(COUNTIF($A$5:$A$104,A53)&gt;1,"知识ID重复",IF(D53="","缺少标题","可用"))))</x:f>
      </x:c>
    </x:row>
    <x:row r="54" ht="28" customHeight="1">
      <x:c r="A54" s="98"/>
      <x:c r="B54" s="25"/>
      <x:c r="C54" s="98"/>
      <x:c r="D54" s="25"/>
      <x:c r="E54" s="25"/>
      <x:c r="F54" s="25" t="str">
        <x:f>IF(COUNTA(A54:E54)=0,"",IF(A54="","缺少知识ID",IF(COUNTIF($A$5:$A$104,A54)&gt;1,"知识ID重复",IF(D54="","缺少标题","可用"))))</x:f>
      </x:c>
    </x:row>
    <x:row r="55" ht="28" customHeight="1">
      <x:c r="A55" s="98"/>
      <x:c r="B55" s="25"/>
      <x:c r="C55" s="98"/>
      <x:c r="D55" s="25"/>
      <x:c r="E55" s="25"/>
      <x:c r="F55" s="25" t="str">
        <x:f>IF(COUNTA(A55:E55)=0,"",IF(A55="","缺少知识ID",IF(COUNTIF($A$5:$A$104,A55)&gt;1,"知识ID重复",IF(D55="","缺少标题","可用"))))</x:f>
      </x:c>
    </x:row>
    <x:row r="56" ht="28" customHeight="1">
      <x:c r="A56" s="98"/>
      <x:c r="B56" s="25"/>
      <x:c r="C56" s="98"/>
      <x:c r="D56" s="25"/>
      <x:c r="E56" s="25"/>
      <x:c r="F56" s="25" t="str">
        <x:f>IF(COUNTA(A56:E56)=0,"",IF(A56="","缺少知识ID",IF(COUNTIF($A$5:$A$104,A56)&gt;1,"知识ID重复",IF(D56="","缺少标题","可用"))))</x:f>
      </x:c>
    </x:row>
    <x:row r="57" ht="28" customHeight="1">
      <x:c r="A57" s="98"/>
      <x:c r="B57" s="25"/>
      <x:c r="C57" s="98"/>
      <x:c r="D57" s="25"/>
      <x:c r="E57" s="25"/>
      <x:c r="F57" s="25" t="str">
        <x:f>IF(COUNTA(A57:E57)=0,"",IF(A57="","缺少知识ID",IF(COUNTIF($A$5:$A$104,A57)&gt;1,"知识ID重复",IF(D57="","缺少标题","可用"))))</x:f>
      </x:c>
    </x:row>
    <x:row r="58" ht="28" customHeight="1">
      <x:c r="A58" s="98"/>
      <x:c r="B58" s="25"/>
      <x:c r="C58" s="98"/>
      <x:c r="D58" s="25"/>
      <x:c r="E58" s="25"/>
      <x:c r="F58" s="25" t="str">
        <x:f>IF(COUNTA(A58:E58)=0,"",IF(A58="","缺少知识ID",IF(COUNTIF($A$5:$A$104,A58)&gt;1,"知识ID重复",IF(D58="","缺少标题","可用"))))</x:f>
      </x:c>
    </x:row>
    <x:row r="59" ht="28" customHeight="1">
      <x:c r="A59" s="98"/>
      <x:c r="B59" s="25"/>
      <x:c r="C59" s="98"/>
      <x:c r="D59" s="25"/>
      <x:c r="E59" s="25"/>
      <x:c r="F59" s="25" t="str">
        <x:f>IF(COUNTA(A59:E59)=0,"",IF(A59="","缺少知识ID",IF(COUNTIF($A$5:$A$104,A59)&gt;1,"知识ID重复",IF(D59="","缺少标题","可用"))))</x:f>
      </x:c>
    </x:row>
    <x:row r="60" ht="28" customHeight="1">
      <x:c r="A60" s="98"/>
      <x:c r="B60" s="25"/>
      <x:c r="C60" s="98"/>
      <x:c r="D60" s="25"/>
      <x:c r="E60" s="25"/>
      <x:c r="F60" s="25" t="str">
        <x:f>IF(COUNTA(A60:E60)=0,"",IF(A60="","缺少知识ID",IF(COUNTIF($A$5:$A$104,A60)&gt;1,"知识ID重复",IF(D60="","缺少标题","可用"))))</x:f>
      </x:c>
    </x:row>
    <x:row r="61" ht="28" customHeight="1">
      <x:c r="A61" s="98"/>
      <x:c r="B61" s="25"/>
      <x:c r="C61" s="98"/>
      <x:c r="D61" s="25"/>
      <x:c r="E61" s="25"/>
      <x:c r="F61" s="25" t="str">
        <x:f>IF(COUNTA(A61:E61)=0,"",IF(A61="","缺少知识ID",IF(COUNTIF($A$5:$A$104,A61)&gt;1,"知识ID重复",IF(D61="","缺少标题","可用"))))</x:f>
      </x:c>
    </x:row>
    <x:row r="62" ht="28" customHeight="1">
      <x:c r="A62" s="98"/>
      <x:c r="B62" s="25"/>
      <x:c r="C62" s="98"/>
      <x:c r="D62" s="25"/>
      <x:c r="E62" s="25"/>
      <x:c r="F62" s="25" t="str">
        <x:f>IF(COUNTA(A62:E62)=0,"",IF(A62="","缺少知识ID",IF(COUNTIF($A$5:$A$104,A62)&gt;1,"知识ID重复",IF(D62="","缺少标题","可用"))))</x:f>
      </x:c>
    </x:row>
    <x:row r="63" ht="28" customHeight="1">
      <x:c r="A63" s="98"/>
      <x:c r="B63" s="25"/>
      <x:c r="C63" s="98"/>
      <x:c r="D63" s="25"/>
      <x:c r="E63" s="25"/>
      <x:c r="F63" s="25" t="str">
        <x:f>IF(COUNTA(A63:E63)=0,"",IF(A63="","缺少知识ID",IF(COUNTIF($A$5:$A$104,A63)&gt;1,"知识ID重复",IF(D63="","缺少标题","可用"))))</x:f>
      </x:c>
    </x:row>
    <x:row r="64" ht="28" customHeight="1">
      <x:c r="A64" s="98"/>
      <x:c r="B64" s="25"/>
      <x:c r="C64" s="98"/>
      <x:c r="D64" s="25"/>
      <x:c r="E64" s="25"/>
      <x:c r="F64" s="25" t="str">
        <x:f>IF(COUNTA(A64:E64)=0,"",IF(A64="","缺少知识ID",IF(COUNTIF($A$5:$A$104,A64)&gt;1,"知识ID重复",IF(D64="","缺少标题","可用"))))</x:f>
      </x:c>
    </x:row>
    <x:row r="65" ht="28" customHeight="1">
      <x:c r="A65" s="98"/>
      <x:c r="B65" s="25"/>
      <x:c r="C65" s="98"/>
      <x:c r="D65" s="25"/>
      <x:c r="E65" s="25"/>
      <x:c r="F65" s="25" t="str">
        <x:f>IF(COUNTA(A65:E65)=0,"",IF(A65="","缺少知识ID",IF(COUNTIF($A$5:$A$104,A65)&gt;1,"知识ID重复",IF(D65="","缺少标题","可用"))))</x:f>
      </x:c>
    </x:row>
    <x:row r="66" ht="28" customHeight="1">
      <x:c r="A66" s="98"/>
      <x:c r="B66" s="25"/>
      <x:c r="C66" s="98"/>
      <x:c r="D66" s="25"/>
      <x:c r="E66" s="25"/>
      <x:c r="F66" s="25" t="str">
        <x:f>IF(COUNTA(A66:E66)=0,"",IF(A66="","缺少知识ID",IF(COUNTIF($A$5:$A$104,A66)&gt;1,"知识ID重复",IF(D66="","缺少标题","可用"))))</x:f>
      </x:c>
    </x:row>
    <x:row r="67" ht="28" customHeight="1">
      <x:c r="A67" s="98"/>
      <x:c r="B67" s="25"/>
      <x:c r="C67" s="98"/>
      <x:c r="D67" s="25"/>
      <x:c r="E67" s="25"/>
      <x:c r="F67" s="25" t="str">
        <x:f>IF(COUNTA(A67:E67)=0,"",IF(A67="","缺少知识ID",IF(COUNTIF($A$5:$A$104,A67)&gt;1,"知识ID重复",IF(D67="","缺少标题","可用"))))</x:f>
      </x:c>
    </x:row>
    <x:row r="68" ht="28" customHeight="1">
      <x:c r="A68" s="98"/>
      <x:c r="B68" s="25"/>
      <x:c r="C68" s="98"/>
      <x:c r="D68" s="25"/>
      <x:c r="E68" s="25"/>
      <x:c r="F68" s="25" t="str">
        <x:f>IF(COUNTA(A68:E68)=0,"",IF(A68="","缺少知识ID",IF(COUNTIF($A$5:$A$104,A68)&gt;1,"知识ID重复",IF(D68="","缺少标题","可用"))))</x:f>
      </x:c>
    </x:row>
    <x:row r="69" ht="28" customHeight="1">
      <x:c r="A69" s="98"/>
      <x:c r="B69" s="25"/>
      <x:c r="C69" s="98"/>
      <x:c r="D69" s="25"/>
      <x:c r="E69" s="25"/>
      <x:c r="F69" s="25" t="str">
        <x:f>IF(COUNTA(A69:E69)=0,"",IF(A69="","缺少知识ID",IF(COUNTIF($A$5:$A$104,A69)&gt;1,"知识ID重复",IF(D69="","缺少标题","可用"))))</x:f>
      </x:c>
    </x:row>
    <x:row r="70" ht="28" customHeight="1">
      <x:c r="A70" s="98"/>
      <x:c r="B70" s="25"/>
      <x:c r="C70" s="98"/>
      <x:c r="D70" s="25"/>
      <x:c r="E70" s="25"/>
      <x:c r="F70" s="25" t="str">
        <x:f>IF(COUNTA(A70:E70)=0,"",IF(A70="","缺少知识ID",IF(COUNTIF($A$5:$A$104,A70)&gt;1,"知识ID重复",IF(D70="","缺少标题","可用"))))</x:f>
      </x:c>
    </x:row>
    <x:row r="71" ht="28" customHeight="1">
      <x:c r="A71" s="98"/>
      <x:c r="B71" s="25"/>
      <x:c r="C71" s="98"/>
      <x:c r="D71" s="25"/>
      <x:c r="E71" s="25"/>
      <x:c r="F71" s="25" t="str">
        <x:f>IF(COUNTA(A71:E71)=0,"",IF(A71="","缺少知识ID",IF(COUNTIF($A$5:$A$104,A71)&gt;1,"知识ID重复",IF(D71="","缺少标题","可用"))))</x:f>
      </x:c>
    </x:row>
    <x:row r="72" ht="28" customHeight="1">
      <x:c r="A72" s="98"/>
      <x:c r="B72" s="25"/>
      <x:c r="C72" s="98"/>
      <x:c r="D72" s="25"/>
      <x:c r="E72" s="25"/>
      <x:c r="F72" s="25" t="str">
        <x:f>IF(COUNTA(A72:E72)=0,"",IF(A72="","缺少知识ID",IF(COUNTIF($A$5:$A$104,A72)&gt;1,"知识ID重复",IF(D72="","缺少标题","可用"))))</x:f>
      </x:c>
    </x:row>
    <x:row r="73" ht="28" customHeight="1">
      <x:c r="A73" s="98"/>
      <x:c r="B73" s="25"/>
      <x:c r="C73" s="98"/>
      <x:c r="D73" s="25"/>
      <x:c r="E73" s="25"/>
      <x:c r="F73" s="25" t="str">
        <x:f>IF(COUNTA(A73:E73)=0,"",IF(A73="","缺少知识ID",IF(COUNTIF($A$5:$A$104,A73)&gt;1,"知识ID重复",IF(D73="","缺少标题","可用"))))</x:f>
      </x:c>
    </x:row>
    <x:row r="74" ht="28" customHeight="1">
      <x:c r="A74" s="98"/>
      <x:c r="B74" s="25"/>
      <x:c r="C74" s="98"/>
      <x:c r="D74" s="25"/>
      <x:c r="E74" s="25"/>
      <x:c r="F74" s="25" t="str">
        <x:f>IF(COUNTA(A74:E74)=0,"",IF(A74="","缺少知识ID",IF(COUNTIF($A$5:$A$104,A74)&gt;1,"知识ID重复",IF(D74="","缺少标题","可用"))))</x:f>
      </x:c>
    </x:row>
    <x:row r="75" ht="28" customHeight="1">
      <x:c r="A75" s="98"/>
      <x:c r="B75" s="25"/>
      <x:c r="C75" s="98"/>
      <x:c r="D75" s="25"/>
      <x:c r="E75" s="25"/>
      <x:c r="F75" s="25" t="str">
        <x:f>IF(COUNTA(A75:E75)=0,"",IF(A75="","缺少知识ID",IF(COUNTIF($A$5:$A$104,A75)&gt;1,"知识ID重复",IF(D75="","缺少标题","可用"))))</x:f>
      </x:c>
    </x:row>
    <x:row r="76" ht="28" customHeight="1">
      <x:c r="A76" s="98"/>
      <x:c r="B76" s="25"/>
      <x:c r="C76" s="98"/>
      <x:c r="D76" s="25"/>
      <x:c r="E76" s="25"/>
      <x:c r="F76" s="25" t="str">
        <x:f>IF(COUNTA(A76:E76)=0,"",IF(A76="","缺少知识ID",IF(COUNTIF($A$5:$A$104,A76)&gt;1,"知识ID重复",IF(D76="","缺少标题","可用"))))</x:f>
      </x:c>
    </x:row>
    <x:row r="77" ht="28" customHeight="1">
      <x:c r="A77" s="98"/>
      <x:c r="B77" s="25"/>
      <x:c r="C77" s="98"/>
      <x:c r="D77" s="25"/>
      <x:c r="E77" s="25"/>
      <x:c r="F77" s="25" t="str">
        <x:f>IF(COUNTA(A77:E77)=0,"",IF(A77="","缺少知识ID",IF(COUNTIF($A$5:$A$104,A77)&gt;1,"知识ID重复",IF(D77="","缺少标题","可用"))))</x:f>
      </x:c>
    </x:row>
    <x:row r="78" ht="28" customHeight="1">
      <x:c r="A78" s="98"/>
      <x:c r="B78" s="25"/>
      <x:c r="C78" s="98"/>
      <x:c r="D78" s="25"/>
      <x:c r="E78" s="25"/>
      <x:c r="F78" s="25" t="str">
        <x:f>IF(COUNTA(A78:E78)=0,"",IF(A78="","缺少知识ID",IF(COUNTIF($A$5:$A$104,A78)&gt;1,"知识ID重复",IF(D78="","缺少标题","可用"))))</x:f>
      </x:c>
    </x:row>
    <x:row r="79" ht="28" customHeight="1">
      <x:c r="A79" s="98"/>
      <x:c r="B79" s="25"/>
      <x:c r="C79" s="98"/>
      <x:c r="D79" s="25"/>
      <x:c r="E79" s="25"/>
      <x:c r="F79" s="25" t="str">
        <x:f>IF(COUNTA(A79:E79)=0,"",IF(A79="","缺少知识ID",IF(COUNTIF($A$5:$A$104,A79)&gt;1,"知识ID重复",IF(D79="","缺少标题","可用"))))</x:f>
      </x:c>
    </x:row>
    <x:row r="80" ht="28" customHeight="1">
      <x:c r="A80" s="98"/>
      <x:c r="B80" s="25"/>
      <x:c r="C80" s="98"/>
      <x:c r="D80" s="25"/>
      <x:c r="E80" s="25"/>
      <x:c r="F80" s="25" t="str">
        <x:f>IF(COUNTA(A80:E80)=0,"",IF(A80="","缺少知识ID",IF(COUNTIF($A$5:$A$104,A80)&gt;1,"知识ID重复",IF(D80="","缺少标题","可用"))))</x:f>
      </x:c>
    </x:row>
    <x:row r="81" ht="28" customHeight="1">
      <x:c r="A81" s="98"/>
      <x:c r="B81" s="25"/>
      <x:c r="C81" s="98"/>
      <x:c r="D81" s="25"/>
      <x:c r="E81" s="25"/>
      <x:c r="F81" s="25" t="str">
        <x:f>IF(COUNTA(A81:E81)=0,"",IF(A81="","缺少知识ID",IF(COUNTIF($A$5:$A$104,A81)&gt;1,"知识ID重复",IF(D81="","缺少标题","可用"))))</x:f>
      </x:c>
    </x:row>
    <x:row r="82" ht="28" customHeight="1">
      <x:c r="A82" s="98"/>
      <x:c r="B82" s="25"/>
      <x:c r="C82" s="98"/>
      <x:c r="D82" s="25"/>
      <x:c r="E82" s="25"/>
      <x:c r="F82" s="25" t="str">
        <x:f>IF(COUNTA(A82:E82)=0,"",IF(A82="","缺少知识ID",IF(COUNTIF($A$5:$A$104,A82)&gt;1,"知识ID重复",IF(D82="","缺少标题","可用"))))</x:f>
      </x:c>
    </x:row>
    <x:row r="83" ht="28" customHeight="1">
      <x:c r="A83" s="98"/>
      <x:c r="B83" s="25"/>
      <x:c r="C83" s="98"/>
      <x:c r="D83" s="25"/>
      <x:c r="E83" s="25"/>
      <x:c r="F83" s="25" t="str">
        <x:f>IF(COUNTA(A83:E83)=0,"",IF(A83="","缺少知识ID",IF(COUNTIF($A$5:$A$104,A83)&gt;1,"知识ID重复",IF(D83="","缺少标题","可用"))))</x:f>
      </x:c>
    </x:row>
    <x:row r="84" ht="28" customHeight="1">
      <x:c r="A84" s="98"/>
      <x:c r="B84" s="25"/>
      <x:c r="C84" s="98"/>
      <x:c r="D84" s="25"/>
      <x:c r="E84" s="25"/>
      <x:c r="F84" s="25" t="str">
        <x:f>IF(COUNTA(A84:E84)=0,"",IF(A84="","缺少知识ID",IF(COUNTIF($A$5:$A$104,A84)&gt;1,"知识ID重复",IF(D84="","缺少标题","可用"))))</x:f>
      </x:c>
    </x:row>
    <x:row r="85" ht="28" customHeight="1">
      <x:c r="A85" s="98"/>
      <x:c r="B85" s="25"/>
      <x:c r="C85" s="98"/>
      <x:c r="D85" s="25"/>
      <x:c r="E85" s="25"/>
      <x:c r="F85" s="25" t="str">
        <x:f>IF(COUNTA(A85:E85)=0,"",IF(A85="","缺少知识ID",IF(COUNTIF($A$5:$A$104,A85)&gt;1,"知识ID重复",IF(D85="","缺少标题","可用"))))</x:f>
      </x:c>
    </x:row>
    <x:row r="86" ht="28" customHeight="1">
      <x:c r="A86" s="98"/>
      <x:c r="B86" s="25"/>
      <x:c r="C86" s="98"/>
      <x:c r="D86" s="25"/>
      <x:c r="E86" s="25"/>
      <x:c r="F86" s="25" t="str">
        <x:f>IF(COUNTA(A86:E86)=0,"",IF(A86="","缺少知识ID",IF(COUNTIF($A$5:$A$104,A86)&gt;1,"知识ID重复",IF(D86="","缺少标题","可用"))))</x:f>
      </x:c>
    </x:row>
    <x:row r="87" ht="28" customHeight="1">
      <x:c r="A87" s="98"/>
      <x:c r="B87" s="25"/>
      <x:c r="C87" s="98"/>
      <x:c r="D87" s="25"/>
      <x:c r="E87" s="25"/>
      <x:c r="F87" s="25" t="str">
        <x:f>IF(COUNTA(A87:E87)=0,"",IF(A87="","缺少知识ID",IF(COUNTIF($A$5:$A$104,A87)&gt;1,"知识ID重复",IF(D87="","缺少标题","可用"))))</x:f>
      </x:c>
    </x:row>
    <x:row r="88" ht="28" customHeight="1">
      <x:c r="A88" s="98"/>
      <x:c r="B88" s="25"/>
      <x:c r="C88" s="98"/>
      <x:c r="D88" s="25"/>
      <x:c r="E88" s="25"/>
      <x:c r="F88" s="25" t="str">
        <x:f>IF(COUNTA(A88:E88)=0,"",IF(A88="","缺少知识ID",IF(COUNTIF($A$5:$A$104,A88)&gt;1,"知识ID重复",IF(D88="","缺少标题","可用"))))</x:f>
      </x:c>
    </x:row>
    <x:row r="89" ht="28" customHeight="1">
      <x:c r="A89" s="98"/>
      <x:c r="B89" s="25"/>
      <x:c r="C89" s="98"/>
      <x:c r="D89" s="25"/>
      <x:c r="E89" s="25"/>
      <x:c r="F89" s="25" t="str">
        <x:f>IF(COUNTA(A89:E89)=0,"",IF(A89="","缺少知识ID",IF(COUNTIF($A$5:$A$104,A89)&gt;1,"知识ID重复",IF(D89="","缺少标题","可用"))))</x:f>
      </x:c>
    </x:row>
    <x:row r="90" ht="28" customHeight="1">
      <x:c r="A90" s="98"/>
      <x:c r="B90" s="25"/>
      <x:c r="C90" s="98"/>
      <x:c r="D90" s="25"/>
      <x:c r="E90" s="25"/>
      <x:c r="F90" s="25" t="str">
        <x:f>IF(COUNTA(A90:E90)=0,"",IF(A90="","缺少知识ID",IF(COUNTIF($A$5:$A$104,A90)&gt;1,"知识ID重复",IF(D90="","缺少标题","可用"))))</x:f>
      </x:c>
    </x:row>
    <x:row r="91" ht="28" customHeight="1">
      <x:c r="A91" s="98"/>
      <x:c r="B91" s="25"/>
      <x:c r="C91" s="98"/>
      <x:c r="D91" s="25"/>
      <x:c r="E91" s="25"/>
      <x:c r="F91" s="25" t="str">
        <x:f>IF(COUNTA(A91:E91)=0,"",IF(A91="","缺少知识ID",IF(COUNTIF($A$5:$A$104,A91)&gt;1,"知识ID重复",IF(D91="","缺少标题","可用"))))</x:f>
      </x:c>
    </x:row>
    <x:row r="92" ht="28" customHeight="1">
      <x:c r="A92" s="98"/>
      <x:c r="B92" s="25"/>
      <x:c r="C92" s="98"/>
      <x:c r="D92" s="25"/>
      <x:c r="E92" s="25"/>
      <x:c r="F92" s="25" t="str">
        <x:f>IF(COUNTA(A92:E92)=0,"",IF(A92="","缺少知识ID",IF(COUNTIF($A$5:$A$104,A92)&gt;1,"知识ID重复",IF(D92="","缺少标题","可用"))))</x:f>
      </x:c>
    </x:row>
    <x:row r="93" ht="28" customHeight="1">
      <x:c r="A93" s="98"/>
      <x:c r="B93" s="25"/>
      <x:c r="C93" s="98"/>
      <x:c r="D93" s="25"/>
      <x:c r="E93" s="25"/>
      <x:c r="F93" s="25" t="str">
        <x:f>IF(COUNTA(A93:E93)=0,"",IF(A93="","缺少知识ID",IF(COUNTIF($A$5:$A$104,A93)&gt;1,"知识ID重复",IF(D93="","缺少标题","可用"))))</x:f>
      </x:c>
    </x:row>
    <x:row r="94" ht="28" customHeight="1">
      <x:c r="A94" s="98"/>
      <x:c r="B94" s="25"/>
      <x:c r="C94" s="98"/>
      <x:c r="D94" s="25"/>
      <x:c r="E94" s="25"/>
      <x:c r="F94" s="25" t="str">
        <x:f>IF(COUNTA(A94:E94)=0,"",IF(A94="","缺少知识ID",IF(COUNTIF($A$5:$A$104,A94)&gt;1,"知识ID重复",IF(D94="","缺少标题","可用"))))</x:f>
      </x:c>
    </x:row>
    <x:row r="95" ht="28" customHeight="1">
      <x:c r="A95" s="98"/>
      <x:c r="B95" s="25"/>
      <x:c r="C95" s="98"/>
      <x:c r="D95" s="25"/>
      <x:c r="E95" s="25"/>
      <x:c r="F95" s="25" t="str">
        <x:f>IF(COUNTA(A95:E95)=0,"",IF(A95="","缺少知识ID",IF(COUNTIF($A$5:$A$104,A95)&gt;1,"知识ID重复",IF(D95="","缺少标题","可用"))))</x:f>
      </x:c>
    </x:row>
    <x:row r="96" ht="28" customHeight="1">
      <x:c r="A96" s="98"/>
      <x:c r="B96" s="25"/>
      <x:c r="C96" s="98"/>
      <x:c r="D96" s="25"/>
      <x:c r="E96" s="25"/>
      <x:c r="F96" s="25" t="str">
        <x:f>IF(COUNTA(A96:E96)=0,"",IF(A96="","缺少知识ID",IF(COUNTIF($A$5:$A$104,A96)&gt;1,"知识ID重复",IF(D96="","缺少标题","可用"))))</x:f>
      </x:c>
    </x:row>
    <x:row r="97" ht="28" customHeight="1">
      <x:c r="A97" s="98"/>
      <x:c r="B97" s="25"/>
      <x:c r="C97" s="98"/>
      <x:c r="D97" s="25"/>
      <x:c r="E97" s="25"/>
      <x:c r="F97" s="25" t="str">
        <x:f>IF(COUNTA(A97:E97)=0,"",IF(A97="","缺少知识ID",IF(COUNTIF($A$5:$A$104,A97)&gt;1,"知识ID重复",IF(D97="","缺少标题","可用"))))</x:f>
      </x:c>
    </x:row>
    <x:row r="98" ht="28" customHeight="1">
      <x:c r="A98" s="98"/>
      <x:c r="B98" s="25"/>
      <x:c r="C98" s="98"/>
      <x:c r="D98" s="25"/>
      <x:c r="E98" s="25"/>
      <x:c r="F98" s="25" t="str">
        <x:f>IF(COUNTA(A98:E98)=0,"",IF(A98="","缺少知识ID",IF(COUNTIF($A$5:$A$104,A98)&gt;1,"知识ID重复",IF(D98="","缺少标题","可用"))))</x:f>
      </x:c>
    </x:row>
    <x:row r="99" ht="28" customHeight="1">
      <x:c r="A99" s="98"/>
      <x:c r="B99" s="25"/>
      <x:c r="C99" s="98"/>
      <x:c r="D99" s="25"/>
      <x:c r="E99" s="25"/>
      <x:c r="F99" s="25" t="str">
        <x:f>IF(COUNTA(A99:E99)=0,"",IF(A99="","缺少知识ID",IF(COUNTIF($A$5:$A$104,A99)&gt;1,"知识ID重复",IF(D99="","缺少标题","可用"))))</x:f>
      </x:c>
    </x:row>
    <x:row r="100" ht="28" customHeight="1">
      <x:c r="A100" s="98"/>
      <x:c r="B100" s="25"/>
      <x:c r="C100" s="98"/>
      <x:c r="D100" s="25"/>
      <x:c r="E100" s="25"/>
      <x:c r="F100" s="25" t="str">
        <x:f>IF(COUNTA(A100:E100)=0,"",IF(A100="","缺少知识ID",IF(COUNTIF($A$5:$A$104,A100)&gt;1,"知识ID重复",IF(D100="","缺少标题","可用"))))</x:f>
      </x:c>
    </x:row>
    <x:row r="101" ht="28" customHeight="1">
      <x:c r="A101" s="98"/>
      <x:c r="B101" s="25"/>
      <x:c r="C101" s="98"/>
      <x:c r="D101" s="25"/>
      <x:c r="E101" s="25"/>
      <x:c r="F101" s="25" t="str">
        <x:f>IF(COUNTA(A101:E101)=0,"",IF(A101="","缺少知识ID",IF(COUNTIF($A$5:$A$104,A101)&gt;1,"知识ID重复",IF(D101="","缺少标题","可用"))))</x:f>
      </x:c>
    </x:row>
    <x:row r="102" ht="28" customHeight="1">
      <x:c r="A102" s="98"/>
      <x:c r="B102" s="25"/>
      <x:c r="C102" s="98"/>
      <x:c r="D102" s="25"/>
      <x:c r="E102" s="25"/>
      <x:c r="F102" s="25" t="str">
        <x:f>IF(COUNTA(A102:E102)=0,"",IF(A102="","缺少知识ID",IF(COUNTIF($A$5:$A$104,A102)&gt;1,"知识ID重复",IF(D102="","缺少标题","可用"))))</x:f>
      </x:c>
    </x:row>
    <x:row r="103" ht="28" customHeight="1">
      <x:c r="A103" s="98"/>
      <x:c r="B103" s="25"/>
      <x:c r="C103" s="98"/>
      <x:c r="D103" s="25"/>
      <x:c r="E103" s="25"/>
      <x:c r="F103" s="25" t="str">
        <x:f>IF(COUNTA(A103:E103)=0,"",IF(A103="","缺少知识ID",IF(COUNTIF($A$5:$A$104,A103)&gt;1,"知识ID重复",IF(D103="","缺少标题","可用"))))</x:f>
      </x:c>
    </x:row>
    <x:row r="104" ht="28" customHeight="1">
      <x:c r="A104" s="98"/>
      <x:c r="B104" s="25"/>
      <x:c r="C104" s="98"/>
      <x:c r="D104" s="25"/>
      <x:c r="E104" s="25"/>
      <x:c r="F104" s="25" t="str">
        <x:f>IF(COUNTA(A104:E104)=0,"",IF(A104="","缺少知识ID",IF(COUNTIF($A$5:$A$104,A104)&gt;1,"知识ID重复",IF(D104="","缺少标题","可用"))))</x:f>
      </x:c>
    </x:row>
  </x:sheetData>
  <x:mergeCells>
    <x:mergeCell ref="A1:F1"/>
    <x:mergeCell ref="A2:F2"/>
    <x:mergeCell ref="A3:F3"/>
  </x:mergeCells>
  <x:conditionalFormatting sqref="F5:F104">
    <x:cfRule type="containsText" dxfId="6" priority="1" operator="containsText" text="可用"/>
    <x:cfRule type="containsText" dxfId="7" priority="2" operator="containsText" text="缺少"/>
    <x:cfRule type="containsText" dxfId="8" priority="3" operator="containsText" text="重复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7" hidden="0" customWidth="1"/>
    <x:col min="3" max="3" width="25" hidden="0" customWidth="1"/>
    <x:col min="4" max="4" width="42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4" t="str">
        <x:v>已完成归档</x:v>
      </x:c>
      <x:c r="B1" s="4"/>
      <x:c r="C1" s="4"/>
      <x:c r="D1" s="4"/>
      <x:c r="E1" s="4"/>
      <x:c r="F1" s="4"/>
      <x:c r="G1" s="4"/>
      <x:c r="H1" s="4"/>
    </x:row>
    <x:row r="2" ht="42" customHeight="1">
      <x:c r="A2" s="8" t="str">
        <x:v>每行一条已完成归档快照；来源工单 ID 应匹配“工单”表。跟进历史由对应工单的 followUps[] 复制，无需重复录入。 </x:v>
      </x:c>
      <x:c r="B2" s="8"/>
      <x:c r="C2" s="8"/>
      <x:c r="D2" s="8"/>
      <x:c r="E2" s="8"/>
      <x:c r="F2" s="8"/>
      <x:c r="G2" s="8"/>
      <x:c r="H2" s="8"/>
    </x:row>
    <x:row r="3" ht="34" customHeight="1">
      <x:c r="A3" s="66" t="str">
        <x:v>填写提示：若不填写归档，系统可对“已完结”工单自动生成；如需保留真实完结日期，请填写本表。橙色第 5 行为示例。</x:v>
      </x:c>
      <x:c r="B3" s="66"/>
      <x:c r="C3" s="66"/>
      <x:c r="D3" s="66"/>
      <x:c r="E3" s="66"/>
      <x:c r="F3" s="66"/>
      <x:c r="G3" s="66"/>
      <x:c r="H3" s="66"/>
    </x:row>
    <x:row r="4" ht="28" customHeight="1">
      <x:c r="A4" s="44" t="str">
        <x:v>归档 ID（id）*</x:v>
      </x:c>
      <x:c r="B4" s="44" t="str">
        <x:v>来源工单 ID（sourceIssueId）*</x:v>
      </x:c>
      <x:c r="C4" s="44" t="str">
        <x:v>门店名称（shopName）*</x:v>
      </x:c>
      <x:c r="D4" s="44" t="str">
        <x:v>门店问题（shopDesc）</x:v>
      </x:c>
      <x:c r="E4" s="44" t="str">
        <x:v>优先级（priority）*</x:v>
      </x:c>
      <x:c r="F4" s="44" t="str">
        <x:v>完结日期（completedAt）*</x:v>
      </x:c>
      <x:c r="G4" s="44" t="str">
        <x:v>原工单创建日期（createdAt）</x:v>
      </x:c>
      <x:c r="H4" s="44" t="str">
        <x:v>填写检查</x:v>
      </x:c>
    </x:row>
    <x:row r="5" ht="28" customHeight="1">
      <x:c r="A5" s="94" t="str">
        <x:v>ARC-0001</x:v>
      </x:c>
      <x:c r="B5" s="94" t="str">
        <x:v>ISS-0001</x:v>
      </x:c>
      <x:c r="C5" s="95" t="str">
        <x:v>华东区-杭州西湖店</x:v>
      </x:c>
      <x:c r="D5" s="95" t="str">
        <x:v>POS 收银系统无法结账</x:v>
      </x:c>
      <x:c r="E5" s="95" t="str">
        <x:v>P0</x:v>
      </x:c>
      <x:c r="F5" s="96" t="n">
        <x:v>46241</x:v>
      </x:c>
      <x:c r="G5" s="96" t="n">
        <x:v>46235</x:v>
      </x:c>
      <x:c r="H5" s="95" t="str">
        <x:f>IF(COUNTA(A5:G5)=0,"",IF(A5="","缺少归档ID",IF(COUNTIF($A$5:$A$104,A5)&gt;1,"归档ID重复",IF(B5="","缺少来源工单ID",IF(COUNTIF('工单'!$A$5:$A$104,B5)=0,"来源工单ID不存在",IF(C5="","缺少门店名称",IF(E5="","缺少优先级",IF(F5="","缺少完结日期","可用"))))))))</x:f>
        <x:v>可用</x:v>
      </x:c>
    </x:row>
    <x:row r="6" ht="28" customHeight="1">
      <x:c r="A6" s="98"/>
      <x:c r="B6" s="98"/>
      <x:c r="C6" s="25"/>
      <x:c r="D6" s="25"/>
      <x:c r="E6" s="25"/>
      <x:c r="F6" s="99"/>
      <x:c r="G6" s="99"/>
      <x:c r="H6" s="25" t="str">
        <x:f>IF(COUNTA(A6:G6)=0,"",IF(A6="","缺少归档ID",IF(COUNTIF($A$5:$A$104,A6)&gt;1,"归档ID重复",IF(B6="","缺少来源工单ID",IF(COUNTIF('工单'!$A$5:$A$104,B6)=0,"来源工单ID不存在",IF(C6="","缺少门店名称",IF(E6="","缺少优先级",IF(F6="","缺少完结日期","可用"))))))))</x:f>
      </x:c>
    </x:row>
    <x:row r="7" ht="28" customHeight="1">
      <x:c r="A7" s="98"/>
      <x:c r="B7" s="98"/>
      <x:c r="C7" s="25"/>
      <x:c r="D7" s="25"/>
      <x:c r="E7" s="25"/>
      <x:c r="F7" s="99"/>
      <x:c r="G7" s="99"/>
      <x:c r="H7" s="25" t="str">
        <x:f>IF(COUNTA(A7:G7)=0,"",IF(A7="","缺少归档ID",IF(COUNTIF($A$5:$A$104,A7)&gt;1,"归档ID重复",IF(B7="","缺少来源工单ID",IF(COUNTIF('工单'!$A$5:$A$104,B7)=0,"来源工单ID不存在",IF(C7="","缺少门店名称",IF(E7="","缺少优先级",IF(F7="","缺少完结日期","可用"))))))))</x:f>
      </x:c>
    </x:row>
    <x:row r="8" ht="28" customHeight="1">
      <x:c r="A8" s="98"/>
      <x:c r="B8" s="98"/>
      <x:c r="C8" s="25"/>
      <x:c r="D8" s="25"/>
      <x:c r="E8" s="25"/>
      <x:c r="F8" s="99"/>
      <x:c r="G8" s="99"/>
      <x:c r="H8" s="25" t="str">
        <x:f>IF(COUNTA(A8:G8)=0,"",IF(A8="","缺少归档ID",IF(COUNTIF($A$5:$A$104,A8)&gt;1,"归档ID重复",IF(B8="","缺少来源工单ID",IF(COUNTIF('工单'!$A$5:$A$104,B8)=0,"来源工单ID不存在",IF(C8="","缺少门店名称",IF(E8="","缺少优先级",IF(F8="","缺少完结日期","可用"))))))))</x:f>
      </x:c>
    </x:row>
    <x:row r="9" ht="28" customHeight="1">
      <x:c r="A9" s="98"/>
      <x:c r="B9" s="98"/>
      <x:c r="C9" s="25"/>
      <x:c r="D9" s="25"/>
      <x:c r="E9" s="25"/>
      <x:c r="F9" s="99"/>
      <x:c r="G9" s="99"/>
      <x:c r="H9" s="25" t="str">
        <x:f>IF(COUNTA(A9:G9)=0,"",IF(A9="","缺少归档ID",IF(COUNTIF($A$5:$A$104,A9)&gt;1,"归档ID重复",IF(B9="","缺少来源工单ID",IF(COUNTIF('工单'!$A$5:$A$104,B9)=0,"来源工单ID不存在",IF(C9="","缺少门店名称",IF(E9="","缺少优先级",IF(F9="","缺少完结日期","可用"))))))))</x:f>
      </x:c>
    </x:row>
    <x:row r="10" ht="28" customHeight="1">
      <x:c r="A10" s="98"/>
      <x:c r="B10" s="98"/>
      <x:c r="C10" s="25"/>
      <x:c r="D10" s="25"/>
      <x:c r="E10" s="25"/>
      <x:c r="F10" s="99"/>
      <x:c r="G10" s="99"/>
      <x:c r="H10" s="25" t="str">
        <x:f>IF(COUNTA(A10:G10)=0,"",IF(A10="","缺少归档ID",IF(COUNTIF($A$5:$A$104,A10)&gt;1,"归档ID重复",IF(B10="","缺少来源工单ID",IF(COUNTIF('工单'!$A$5:$A$104,B10)=0,"来源工单ID不存在",IF(C10="","缺少门店名称",IF(E10="","缺少优先级",IF(F10="","缺少完结日期","可用"))))))))</x:f>
      </x:c>
    </x:row>
    <x:row r="11" ht="28" customHeight="1">
      <x:c r="A11" s="98"/>
      <x:c r="B11" s="98"/>
      <x:c r="C11" s="25"/>
      <x:c r="D11" s="25"/>
      <x:c r="E11" s="25"/>
      <x:c r="F11" s="99"/>
      <x:c r="G11" s="99"/>
      <x:c r="H11" s="25" t="str">
        <x:f>IF(COUNTA(A11:G11)=0,"",IF(A11="","缺少归档ID",IF(COUNTIF($A$5:$A$104,A11)&gt;1,"归档ID重复",IF(B11="","缺少来源工单ID",IF(COUNTIF('工单'!$A$5:$A$104,B11)=0,"来源工单ID不存在",IF(C11="","缺少门店名称",IF(E11="","缺少优先级",IF(F11="","缺少完结日期","可用"))))))))</x:f>
      </x:c>
    </x:row>
    <x:row r="12" ht="28" customHeight="1">
      <x:c r="A12" s="98"/>
      <x:c r="B12" s="98"/>
      <x:c r="C12" s="25"/>
      <x:c r="D12" s="25"/>
      <x:c r="E12" s="25"/>
      <x:c r="F12" s="99"/>
      <x:c r="G12" s="99"/>
      <x:c r="H12" s="25" t="str">
        <x:f>IF(COUNTA(A12:G12)=0,"",IF(A12="","缺少归档ID",IF(COUNTIF($A$5:$A$104,A12)&gt;1,"归档ID重复",IF(B12="","缺少来源工单ID",IF(COUNTIF('工单'!$A$5:$A$104,B12)=0,"来源工单ID不存在",IF(C12="","缺少门店名称",IF(E12="","缺少优先级",IF(F12="","缺少完结日期","可用"))))))))</x:f>
      </x:c>
    </x:row>
    <x:row r="13" ht="28" customHeight="1">
      <x:c r="A13" s="98"/>
      <x:c r="B13" s="98"/>
      <x:c r="C13" s="25"/>
      <x:c r="D13" s="25"/>
      <x:c r="E13" s="25"/>
      <x:c r="F13" s="99"/>
      <x:c r="G13" s="99"/>
      <x:c r="H13" s="25" t="str">
        <x:f>IF(COUNTA(A13:G13)=0,"",IF(A13="","缺少归档ID",IF(COUNTIF($A$5:$A$104,A13)&gt;1,"归档ID重复",IF(B13="","缺少来源工单ID",IF(COUNTIF('工单'!$A$5:$A$104,B13)=0,"来源工单ID不存在",IF(C13="","缺少门店名称",IF(E13="","缺少优先级",IF(F13="","缺少完结日期","可用"))))))))</x:f>
      </x:c>
    </x:row>
    <x:row r="14" ht="28" customHeight="1">
      <x:c r="A14" s="98"/>
      <x:c r="B14" s="98"/>
      <x:c r="C14" s="25"/>
      <x:c r="D14" s="25"/>
      <x:c r="E14" s="25"/>
      <x:c r="F14" s="99"/>
      <x:c r="G14" s="99"/>
      <x:c r="H14" s="25" t="str">
        <x:f>IF(COUNTA(A14:G14)=0,"",IF(A14="","缺少归档ID",IF(COUNTIF($A$5:$A$104,A14)&gt;1,"归档ID重复",IF(B14="","缺少来源工单ID",IF(COUNTIF('工单'!$A$5:$A$104,B14)=0,"来源工单ID不存在",IF(C14="","缺少门店名称",IF(E14="","缺少优先级",IF(F14="","缺少完结日期","可用"))))))))</x:f>
      </x:c>
    </x:row>
    <x:row r="15" ht="28" customHeight="1">
      <x:c r="A15" s="98"/>
      <x:c r="B15" s="98"/>
      <x:c r="C15" s="25"/>
      <x:c r="D15" s="25"/>
      <x:c r="E15" s="25"/>
      <x:c r="F15" s="99"/>
      <x:c r="G15" s="99"/>
      <x:c r="H15" s="25" t="str">
        <x:f>IF(COUNTA(A15:G15)=0,"",IF(A15="","缺少归档ID",IF(COUNTIF($A$5:$A$104,A15)&gt;1,"归档ID重复",IF(B15="","缺少来源工单ID",IF(COUNTIF('工单'!$A$5:$A$104,B15)=0,"来源工单ID不存在",IF(C15="","缺少门店名称",IF(E15="","缺少优先级",IF(F15="","缺少完结日期","可用"))))))))</x:f>
      </x:c>
    </x:row>
    <x:row r="16" ht="28" customHeight="1">
      <x:c r="A16" s="98"/>
      <x:c r="B16" s="98"/>
      <x:c r="C16" s="25"/>
      <x:c r="D16" s="25"/>
      <x:c r="E16" s="25"/>
      <x:c r="F16" s="99"/>
      <x:c r="G16" s="99"/>
      <x:c r="H16" s="25" t="str">
        <x:f>IF(COUNTA(A16:G16)=0,"",IF(A16="","缺少归档ID",IF(COUNTIF($A$5:$A$104,A16)&gt;1,"归档ID重复",IF(B16="","缺少来源工单ID",IF(COUNTIF('工单'!$A$5:$A$104,B16)=0,"来源工单ID不存在",IF(C16="","缺少门店名称",IF(E16="","缺少优先级",IF(F16="","缺少完结日期","可用"))))))))</x:f>
      </x:c>
    </x:row>
    <x:row r="17" ht="28" customHeight="1">
      <x:c r="A17" s="98"/>
      <x:c r="B17" s="98"/>
      <x:c r="C17" s="25"/>
      <x:c r="D17" s="25"/>
      <x:c r="E17" s="25"/>
      <x:c r="F17" s="99"/>
      <x:c r="G17" s="99"/>
      <x:c r="H17" s="25" t="str">
        <x:f>IF(COUNTA(A17:G17)=0,"",IF(A17="","缺少归档ID",IF(COUNTIF($A$5:$A$104,A17)&gt;1,"归档ID重复",IF(B17="","缺少来源工单ID",IF(COUNTIF('工单'!$A$5:$A$104,B17)=0,"来源工单ID不存在",IF(C17="","缺少门店名称",IF(E17="","缺少优先级",IF(F17="","缺少完结日期","可用"))))))))</x:f>
      </x:c>
    </x:row>
    <x:row r="18" ht="28" customHeight="1">
      <x:c r="A18" s="98"/>
      <x:c r="B18" s="98"/>
      <x:c r="C18" s="25"/>
      <x:c r="D18" s="25"/>
      <x:c r="E18" s="25"/>
      <x:c r="F18" s="99"/>
      <x:c r="G18" s="99"/>
      <x:c r="H18" s="25" t="str">
        <x:f>IF(COUNTA(A18:G18)=0,"",IF(A18="","缺少归档ID",IF(COUNTIF($A$5:$A$104,A18)&gt;1,"归档ID重复",IF(B18="","缺少来源工单ID",IF(COUNTIF('工单'!$A$5:$A$104,B18)=0,"来源工单ID不存在",IF(C18="","缺少门店名称",IF(E18="","缺少优先级",IF(F18="","缺少完结日期","可用"))))))))</x:f>
      </x:c>
    </x:row>
    <x:row r="19" ht="28" customHeight="1">
      <x:c r="A19" s="98"/>
      <x:c r="B19" s="98"/>
      <x:c r="C19" s="25"/>
      <x:c r="D19" s="25"/>
      <x:c r="E19" s="25"/>
      <x:c r="F19" s="99"/>
      <x:c r="G19" s="99"/>
      <x:c r="H19" s="25" t="str">
        <x:f>IF(COUNTA(A19:G19)=0,"",IF(A19="","缺少归档ID",IF(COUNTIF($A$5:$A$104,A19)&gt;1,"归档ID重复",IF(B19="","缺少来源工单ID",IF(COUNTIF('工单'!$A$5:$A$104,B19)=0,"来源工单ID不存在",IF(C19="","缺少门店名称",IF(E19="","缺少优先级",IF(F19="","缺少完结日期","可用"))))))))</x:f>
      </x:c>
    </x:row>
    <x:row r="20" ht="28" customHeight="1">
      <x:c r="A20" s="98"/>
      <x:c r="B20" s="98"/>
      <x:c r="C20" s="25"/>
      <x:c r="D20" s="25"/>
      <x:c r="E20" s="25"/>
      <x:c r="F20" s="99"/>
      <x:c r="G20" s="99"/>
      <x:c r="H20" s="25" t="str">
        <x:f>IF(COUNTA(A20:G20)=0,"",IF(A20="","缺少归档ID",IF(COUNTIF($A$5:$A$104,A20)&gt;1,"归档ID重复",IF(B20="","缺少来源工单ID",IF(COUNTIF('工单'!$A$5:$A$104,B20)=0,"来源工单ID不存在",IF(C20="","缺少门店名称",IF(E20="","缺少优先级",IF(F20="","缺少完结日期","可用"))))))))</x:f>
      </x:c>
    </x:row>
    <x:row r="21" ht="28" customHeight="1">
      <x:c r="A21" s="98"/>
      <x:c r="B21" s="98"/>
      <x:c r="C21" s="25"/>
      <x:c r="D21" s="25"/>
      <x:c r="E21" s="25"/>
      <x:c r="F21" s="99"/>
      <x:c r="G21" s="99"/>
      <x:c r="H21" s="25" t="str">
        <x:f>IF(COUNTA(A21:G21)=0,"",IF(A21="","缺少归档ID",IF(COUNTIF($A$5:$A$104,A21)&gt;1,"归档ID重复",IF(B21="","缺少来源工单ID",IF(COUNTIF('工单'!$A$5:$A$104,B21)=0,"来源工单ID不存在",IF(C21="","缺少门店名称",IF(E21="","缺少优先级",IF(F21="","缺少完结日期","可用"))))))))</x:f>
      </x:c>
    </x:row>
    <x:row r="22" ht="28" customHeight="1">
      <x:c r="A22" s="98"/>
      <x:c r="B22" s="98"/>
      <x:c r="C22" s="25"/>
      <x:c r="D22" s="25"/>
      <x:c r="E22" s="25"/>
      <x:c r="F22" s="99"/>
      <x:c r="G22" s="99"/>
      <x:c r="H22" s="25" t="str">
        <x:f>IF(COUNTA(A22:G22)=0,"",IF(A22="","缺少归档ID",IF(COUNTIF($A$5:$A$104,A22)&gt;1,"归档ID重复",IF(B22="","缺少来源工单ID",IF(COUNTIF('工单'!$A$5:$A$104,B22)=0,"来源工单ID不存在",IF(C22="","缺少门店名称",IF(E22="","缺少优先级",IF(F22="","缺少完结日期","可用"))))))))</x:f>
      </x:c>
    </x:row>
    <x:row r="23" ht="28" customHeight="1">
      <x:c r="A23" s="98"/>
      <x:c r="B23" s="98"/>
      <x:c r="C23" s="25"/>
      <x:c r="D23" s="25"/>
      <x:c r="E23" s="25"/>
      <x:c r="F23" s="99"/>
      <x:c r="G23" s="99"/>
      <x:c r="H23" s="25" t="str">
        <x:f>IF(COUNTA(A23:G23)=0,"",IF(A23="","缺少归档ID",IF(COUNTIF($A$5:$A$104,A23)&gt;1,"归档ID重复",IF(B23="","缺少来源工单ID",IF(COUNTIF('工单'!$A$5:$A$104,B23)=0,"来源工单ID不存在",IF(C23="","缺少门店名称",IF(E23="","缺少优先级",IF(F23="","缺少完结日期","可用"))))))))</x:f>
      </x:c>
    </x:row>
    <x:row r="24" ht="28" customHeight="1">
      <x:c r="A24" s="98"/>
      <x:c r="B24" s="98"/>
      <x:c r="C24" s="25"/>
      <x:c r="D24" s="25"/>
      <x:c r="E24" s="25"/>
      <x:c r="F24" s="99"/>
      <x:c r="G24" s="99"/>
      <x:c r="H24" s="25" t="str">
        <x:f>IF(COUNTA(A24:G24)=0,"",IF(A24="","缺少归档ID",IF(COUNTIF($A$5:$A$104,A24)&gt;1,"归档ID重复",IF(B24="","缺少来源工单ID",IF(COUNTIF('工单'!$A$5:$A$104,B24)=0,"来源工单ID不存在",IF(C24="","缺少门店名称",IF(E24="","缺少优先级",IF(F24="","缺少完结日期","可用"))))))))</x:f>
      </x:c>
    </x:row>
    <x:row r="25" ht="28" customHeight="1">
      <x:c r="A25" s="98"/>
      <x:c r="B25" s="98"/>
      <x:c r="C25" s="25"/>
      <x:c r="D25" s="25"/>
      <x:c r="E25" s="25"/>
      <x:c r="F25" s="99"/>
      <x:c r="G25" s="99"/>
      <x:c r="H25" s="25" t="str">
        <x:f>IF(COUNTA(A25:G25)=0,"",IF(A25="","缺少归档ID",IF(COUNTIF($A$5:$A$104,A25)&gt;1,"归档ID重复",IF(B25="","缺少来源工单ID",IF(COUNTIF('工单'!$A$5:$A$104,B25)=0,"来源工单ID不存在",IF(C25="","缺少门店名称",IF(E25="","缺少优先级",IF(F25="","缺少完结日期","可用"))))))))</x:f>
      </x:c>
    </x:row>
    <x:row r="26" ht="28" customHeight="1">
      <x:c r="A26" s="98"/>
      <x:c r="B26" s="98"/>
      <x:c r="C26" s="25"/>
      <x:c r="D26" s="25"/>
      <x:c r="E26" s="25"/>
      <x:c r="F26" s="99"/>
      <x:c r="G26" s="99"/>
      <x:c r="H26" s="25" t="str">
        <x:f>IF(COUNTA(A26:G26)=0,"",IF(A26="","缺少归档ID",IF(COUNTIF($A$5:$A$104,A26)&gt;1,"归档ID重复",IF(B26="","缺少来源工单ID",IF(COUNTIF('工单'!$A$5:$A$104,B26)=0,"来源工单ID不存在",IF(C26="","缺少门店名称",IF(E26="","缺少优先级",IF(F26="","缺少完结日期","可用"))))))))</x:f>
      </x:c>
    </x:row>
    <x:row r="27" ht="28" customHeight="1">
      <x:c r="A27" s="98"/>
      <x:c r="B27" s="98"/>
      <x:c r="C27" s="25"/>
      <x:c r="D27" s="25"/>
      <x:c r="E27" s="25"/>
      <x:c r="F27" s="99"/>
      <x:c r="G27" s="99"/>
      <x:c r="H27" s="25" t="str">
        <x:f>IF(COUNTA(A27:G27)=0,"",IF(A27="","缺少归档ID",IF(COUNTIF($A$5:$A$104,A27)&gt;1,"归档ID重复",IF(B27="","缺少来源工单ID",IF(COUNTIF('工单'!$A$5:$A$104,B27)=0,"来源工单ID不存在",IF(C27="","缺少门店名称",IF(E27="","缺少优先级",IF(F27="","缺少完结日期","可用"))))))))</x:f>
      </x:c>
    </x:row>
    <x:row r="28" ht="28" customHeight="1">
      <x:c r="A28" s="98"/>
      <x:c r="B28" s="98"/>
      <x:c r="C28" s="25"/>
      <x:c r="D28" s="25"/>
      <x:c r="E28" s="25"/>
      <x:c r="F28" s="99"/>
      <x:c r="G28" s="99"/>
      <x:c r="H28" s="25" t="str">
        <x:f>IF(COUNTA(A28:G28)=0,"",IF(A28="","缺少归档ID",IF(COUNTIF($A$5:$A$104,A28)&gt;1,"归档ID重复",IF(B28="","缺少来源工单ID",IF(COUNTIF('工单'!$A$5:$A$104,B28)=0,"来源工单ID不存在",IF(C28="","缺少门店名称",IF(E28="","缺少优先级",IF(F28="","缺少完结日期","可用"))))))))</x:f>
      </x:c>
    </x:row>
    <x:row r="29" ht="28" customHeight="1">
      <x:c r="A29" s="98"/>
      <x:c r="B29" s="98"/>
      <x:c r="C29" s="25"/>
      <x:c r="D29" s="25"/>
      <x:c r="E29" s="25"/>
      <x:c r="F29" s="99"/>
      <x:c r="G29" s="99"/>
      <x:c r="H29" s="25" t="str">
        <x:f>IF(COUNTA(A29:G29)=0,"",IF(A29="","缺少归档ID",IF(COUNTIF($A$5:$A$104,A29)&gt;1,"归档ID重复",IF(B29="","缺少来源工单ID",IF(COUNTIF('工单'!$A$5:$A$104,B29)=0,"来源工单ID不存在",IF(C29="","缺少门店名称",IF(E29="","缺少优先级",IF(F29="","缺少完结日期","可用"))))))))</x:f>
      </x:c>
    </x:row>
    <x:row r="30" ht="28" customHeight="1">
      <x:c r="A30" s="98"/>
      <x:c r="B30" s="98"/>
      <x:c r="C30" s="25"/>
      <x:c r="D30" s="25"/>
      <x:c r="E30" s="25"/>
      <x:c r="F30" s="99"/>
      <x:c r="G30" s="99"/>
      <x:c r="H30" s="25" t="str">
        <x:f>IF(COUNTA(A30:G30)=0,"",IF(A30="","缺少归档ID",IF(COUNTIF($A$5:$A$104,A30)&gt;1,"归档ID重复",IF(B30="","缺少来源工单ID",IF(COUNTIF('工单'!$A$5:$A$104,B30)=0,"来源工单ID不存在",IF(C30="","缺少门店名称",IF(E30="","缺少优先级",IF(F30="","缺少完结日期","可用"))))))))</x:f>
      </x:c>
    </x:row>
    <x:row r="31" ht="28" customHeight="1">
      <x:c r="A31" s="98"/>
      <x:c r="B31" s="98"/>
      <x:c r="C31" s="25"/>
      <x:c r="D31" s="25"/>
      <x:c r="E31" s="25"/>
      <x:c r="F31" s="99"/>
      <x:c r="G31" s="99"/>
      <x:c r="H31" s="25" t="str">
        <x:f>IF(COUNTA(A31:G31)=0,"",IF(A31="","缺少归档ID",IF(COUNTIF($A$5:$A$104,A31)&gt;1,"归档ID重复",IF(B31="","缺少来源工单ID",IF(COUNTIF('工单'!$A$5:$A$104,B31)=0,"来源工单ID不存在",IF(C31="","缺少门店名称",IF(E31="","缺少优先级",IF(F31="","缺少完结日期","可用"))))))))</x:f>
      </x:c>
    </x:row>
    <x:row r="32" ht="28" customHeight="1">
      <x:c r="A32" s="98"/>
      <x:c r="B32" s="98"/>
      <x:c r="C32" s="25"/>
      <x:c r="D32" s="25"/>
      <x:c r="E32" s="25"/>
      <x:c r="F32" s="99"/>
      <x:c r="G32" s="99"/>
      <x:c r="H32" s="25" t="str">
        <x:f>IF(COUNTA(A32:G32)=0,"",IF(A32="","缺少归档ID",IF(COUNTIF($A$5:$A$104,A32)&gt;1,"归档ID重复",IF(B32="","缺少来源工单ID",IF(COUNTIF('工单'!$A$5:$A$104,B32)=0,"来源工单ID不存在",IF(C32="","缺少门店名称",IF(E32="","缺少优先级",IF(F32="","缺少完结日期","可用"))))))))</x:f>
      </x:c>
    </x:row>
    <x:row r="33" ht="28" customHeight="1">
      <x:c r="A33" s="98"/>
      <x:c r="B33" s="98"/>
      <x:c r="C33" s="25"/>
      <x:c r="D33" s="25"/>
      <x:c r="E33" s="25"/>
      <x:c r="F33" s="99"/>
      <x:c r="G33" s="99"/>
      <x:c r="H33" s="25" t="str">
        <x:f>IF(COUNTA(A33:G33)=0,"",IF(A33="","缺少归档ID",IF(COUNTIF($A$5:$A$104,A33)&gt;1,"归档ID重复",IF(B33="","缺少来源工单ID",IF(COUNTIF('工单'!$A$5:$A$104,B33)=0,"来源工单ID不存在",IF(C33="","缺少门店名称",IF(E33="","缺少优先级",IF(F33="","缺少完结日期","可用"))))))))</x:f>
      </x:c>
    </x:row>
    <x:row r="34" ht="28" customHeight="1">
      <x:c r="A34" s="98"/>
      <x:c r="B34" s="98"/>
      <x:c r="C34" s="25"/>
      <x:c r="D34" s="25"/>
      <x:c r="E34" s="25"/>
      <x:c r="F34" s="99"/>
      <x:c r="G34" s="99"/>
      <x:c r="H34" s="25" t="str">
        <x:f>IF(COUNTA(A34:G34)=0,"",IF(A34="","缺少归档ID",IF(COUNTIF($A$5:$A$104,A34)&gt;1,"归档ID重复",IF(B34="","缺少来源工单ID",IF(COUNTIF('工单'!$A$5:$A$104,B34)=0,"来源工单ID不存在",IF(C34="","缺少门店名称",IF(E34="","缺少优先级",IF(F34="","缺少完结日期","可用"))))))))</x:f>
      </x:c>
    </x:row>
    <x:row r="35" ht="28" customHeight="1">
      <x:c r="A35" s="98"/>
      <x:c r="B35" s="98"/>
      <x:c r="C35" s="25"/>
      <x:c r="D35" s="25"/>
      <x:c r="E35" s="25"/>
      <x:c r="F35" s="99"/>
      <x:c r="G35" s="99"/>
      <x:c r="H35" s="25" t="str">
        <x:f>IF(COUNTA(A35:G35)=0,"",IF(A35="","缺少归档ID",IF(COUNTIF($A$5:$A$104,A35)&gt;1,"归档ID重复",IF(B35="","缺少来源工单ID",IF(COUNTIF('工单'!$A$5:$A$104,B35)=0,"来源工单ID不存在",IF(C35="","缺少门店名称",IF(E35="","缺少优先级",IF(F35="","缺少完结日期","可用"))))))))</x:f>
      </x:c>
    </x:row>
    <x:row r="36" ht="28" customHeight="1">
      <x:c r="A36" s="98"/>
      <x:c r="B36" s="98"/>
      <x:c r="C36" s="25"/>
      <x:c r="D36" s="25"/>
      <x:c r="E36" s="25"/>
      <x:c r="F36" s="99"/>
      <x:c r="G36" s="99"/>
      <x:c r="H36" s="25" t="str">
        <x:f>IF(COUNTA(A36:G36)=0,"",IF(A36="","缺少归档ID",IF(COUNTIF($A$5:$A$104,A36)&gt;1,"归档ID重复",IF(B36="","缺少来源工单ID",IF(COUNTIF('工单'!$A$5:$A$104,B36)=0,"来源工单ID不存在",IF(C36="","缺少门店名称",IF(E36="","缺少优先级",IF(F36="","缺少完结日期","可用"))))))))</x:f>
      </x:c>
    </x:row>
    <x:row r="37" ht="28" customHeight="1">
      <x:c r="A37" s="98"/>
      <x:c r="B37" s="98"/>
      <x:c r="C37" s="25"/>
      <x:c r="D37" s="25"/>
      <x:c r="E37" s="25"/>
      <x:c r="F37" s="99"/>
      <x:c r="G37" s="99"/>
      <x:c r="H37" s="25" t="str">
        <x:f>IF(COUNTA(A37:G37)=0,"",IF(A37="","缺少归档ID",IF(COUNTIF($A$5:$A$104,A37)&gt;1,"归档ID重复",IF(B37="","缺少来源工单ID",IF(COUNTIF('工单'!$A$5:$A$104,B37)=0,"来源工单ID不存在",IF(C37="","缺少门店名称",IF(E37="","缺少优先级",IF(F37="","缺少完结日期","可用"))))))))</x:f>
      </x:c>
    </x:row>
    <x:row r="38" ht="28" customHeight="1">
      <x:c r="A38" s="98"/>
      <x:c r="B38" s="98"/>
      <x:c r="C38" s="25"/>
      <x:c r="D38" s="25"/>
      <x:c r="E38" s="25"/>
      <x:c r="F38" s="99"/>
      <x:c r="G38" s="99"/>
      <x:c r="H38" s="25" t="str">
        <x:f>IF(COUNTA(A38:G38)=0,"",IF(A38="","缺少归档ID",IF(COUNTIF($A$5:$A$104,A38)&gt;1,"归档ID重复",IF(B38="","缺少来源工单ID",IF(COUNTIF('工单'!$A$5:$A$104,B38)=0,"来源工单ID不存在",IF(C38="","缺少门店名称",IF(E38="","缺少优先级",IF(F38="","缺少完结日期","可用"))))))))</x:f>
      </x:c>
    </x:row>
    <x:row r="39" ht="28" customHeight="1">
      <x:c r="A39" s="98"/>
      <x:c r="B39" s="98"/>
      <x:c r="C39" s="25"/>
      <x:c r="D39" s="25"/>
      <x:c r="E39" s="25"/>
      <x:c r="F39" s="99"/>
      <x:c r="G39" s="99"/>
      <x:c r="H39" s="25" t="str">
        <x:f>IF(COUNTA(A39:G39)=0,"",IF(A39="","缺少归档ID",IF(COUNTIF($A$5:$A$104,A39)&gt;1,"归档ID重复",IF(B39="","缺少来源工单ID",IF(COUNTIF('工单'!$A$5:$A$104,B39)=0,"来源工单ID不存在",IF(C39="","缺少门店名称",IF(E39="","缺少优先级",IF(F39="","缺少完结日期","可用"))))))))</x:f>
      </x:c>
    </x:row>
    <x:row r="40" ht="28" customHeight="1">
      <x:c r="A40" s="98"/>
      <x:c r="B40" s="98"/>
      <x:c r="C40" s="25"/>
      <x:c r="D40" s="25"/>
      <x:c r="E40" s="25"/>
      <x:c r="F40" s="99"/>
      <x:c r="G40" s="99"/>
      <x:c r="H40" s="25" t="str">
        <x:f>IF(COUNTA(A40:G40)=0,"",IF(A40="","缺少归档ID",IF(COUNTIF($A$5:$A$104,A40)&gt;1,"归档ID重复",IF(B40="","缺少来源工单ID",IF(COUNTIF('工单'!$A$5:$A$104,B40)=0,"来源工单ID不存在",IF(C40="","缺少门店名称",IF(E40="","缺少优先级",IF(F40="","缺少完结日期","可用"))))))))</x:f>
      </x:c>
    </x:row>
    <x:row r="41" ht="28" customHeight="1">
      <x:c r="A41" s="98"/>
      <x:c r="B41" s="98"/>
      <x:c r="C41" s="25"/>
      <x:c r="D41" s="25"/>
      <x:c r="E41" s="25"/>
      <x:c r="F41" s="99"/>
      <x:c r="G41" s="99"/>
      <x:c r="H41" s="25" t="str">
        <x:f>IF(COUNTA(A41:G41)=0,"",IF(A41="","缺少归档ID",IF(COUNTIF($A$5:$A$104,A41)&gt;1,"归档ID重复",IF(B41="","缺少来源工单ID",IF(COUNTIF('工单'!$A$5:$A$104,B41)=0,"来源工单ID不存在",IF(C41="","缺少门店名称",IF(E41="","缺少优先级",IF(F41="","缺少完结日期","可用"))))))))</x:f>
      </x:c>
    </x:row>
    <x:row r="42" ht="28" customHeight="1">
      <x:c r="A42" s="98"/>
      <x:c r="B42" s="98"/>
      <x:c r="C42" s="25"/>
      <x:c r="D42" s="25"/>
      <x:c r="E42" s="25"/>
      <x:c r="F42" s="99"/>
      <x:c r="G42" s="99"/>
      <x:c r="H42" s="25" t="str">
        <x:f>IF(COUNTA(A42:G42)=0,"",IF(A42="","缺少归档ID",IF(COUNTIF($A$5:$A$104,A42)&gt;1,"归档ID重复",IF(B42="","缺少来源工单ID",IF(COUNTIF('工单'!$A$5:$A$104,B42)=0,"来源工单ID不存在",IF(C42="","缺少门店名称",IF(E42="","缺少优先级",IF(F42="","缺少完结日期","可用"))))))))</x:f>
      </x:c>
    </x:row>
    <x:row r="43" ht="28" customHeight="1">
      <x:c r="A43" s="98"/>
      <x:c r="B43" s="98"/>
      <x:c r="C43" s="25"/>
      <x:c r="D43" s="25"/>
      <x:c r="E43" s="25"/>
      <x:c r="F43" s="99"/>
      <x:c r="G43" s="99"/>
      <x:c r="H43" s="25" t="str">
        <x:f>IF(COUNTA(A43:G43)=0,"",IF(A43="","缺少归档ID",IF(COUNTIF($A$5:$A$104,A43)&gt;1,"归档ID重复",IF(B43="","缺少来源工单ID",IF(COUNTIF('工单'!$A$5:$A$104,B43)=0,"来源工单ID不存在",IF(C43="","缺少门店名称",IF(E43="","缺少优先级",IF(F43="","缺少完结日期","可用"))))))))</x:f>
      </x:c>
    </x:row>
    <x:row r="44" ht="28" customHeight="1">
      <x:c r="A44" s="98"/>
      <x:c r="B44" s="98"/>
      <x:c r="C44" s="25"/>
      <x:c r="D44" s="25"/>
      <x:c r="E44" s="25"/>
      <x:c r="F44" s="99"/>
      <x:c r="G44" s="99"/>
      <x:c r="H44" s="25" t="str">
        <x:f>IF(COUNTA(A44:G44)=0,"",IF(A44="","缺少归档ID",IF(COUNTIF($A$5:$A$104,A44)&gt;1,"归档ID重复",IF(B44="","缺少来源工单ID",IF(COUNTIF('工单'!$A$5:$A$104,B44)=0,"来源工单ID不存在",IF(C44="","缺少门店名称",IF(E44="","缺少优先级",IF(F44="","缺少完结日期","可用"))))))))</x:f>
      </x:c>
    </x:row>
    <x:row r="45" ht="28" customHeight="1">
      <x:c r="A45" s="98"/>
      <x:c r="B45" s="98"/>
      <x:c r="C45" s="25"/>
      <x:c r="D45" s="25"/>
      <x:c r="E45" s="25"/>
      <x:c r="F45" s="99"/>
      <x:c r="G45" s="99"/>
      <x:c r="H45" s="25" t="str">
        <x:f>IF(COUNTA(A45:G45)=0,"",IF(A45="","缺少归档ID",IF(COUNTIF($A$5:$A$104,A45)&gt;1,"归档ID重复",IF(B45="","缺少来源工单ID",IF(COUNTIF('工单'!$A$5:$A$104,B45)=0,"来源工单ID不存在",IF(C45="","缺少门店名称",IF(E45="","缺少优先级",IF(F45="","缺少完结日期","可用"))))))))</x:f>
      </x:c>
    </x:row>
    <x:row r="46" ht="28" customHeight="1">
      <x:c r="A46" s="98"/>
      <x:c r="B46" s="98"/>
      <x:c r="C46" s="25"/>
      <x:c r="D46" s="25"/>
      <x:c r="E46" s="25"/>
      <x:c r="F46" s="99"/>
      <x:c r="G46" s="99"/>
      <x:c r="H46" s="25" t="str">
        <x:f>IF(COUNTA(A46:G46)=0,"",IF(A46="","缺少归档ID",IF(COUNTIF($A$5:$A$104,A46)&gt;1,"归档ID重复",IF(B46="","缺少来源工单ID",IF(COUNTIF('工单'!$A$5:$A$104,B46)=0,"来源工单ID不存在",IF(C46="","缺少门店名称",IF(E46="","缺少优先级",IF(F46="","缺少完结日期","可用"))))))))</x:f>
      </x:c>
    </x:row>
    <x:row r="47" ht="28" customHeight="1">
      <x:c r="A47" s="98"/>
      <x:c r="B47" s="98"/>
      <x:c r="C47" s="25"/>
      <x:c r="D47" s="25"/>
      <x:c r="E47" s="25"/>
      <x:c r="F47" s="99"/>
      <x:c r="G47" s="99"/>
      <x:c r="H47" s="25" t="str">
        <x:f>IF(COUNTA(A47:G47)=0,"",IF(A47="","缺少归档ID",IF(COUNTIF($A$5:$A$104,A47)&gt;1,"归档ID重复",IF(B47="","缺少来源工单ID",IF(COUNTIF('工单'!$A$5:$A$104,B47)=0,"来源工单ID不存在",IF(C47="","缺少门店名称",IF(E47="","缺少优先级",IF(F47="","缺少完结日期","可用"))))))))</x:f>
      </x:c>
    </x:row>
    <x:row r="48" ht="28" customHeight="1">
      <x:c r="A48" s="98"/>
      <x:c r="B48" s="98"/>
      <x:c r="C48" s="25"/>
      <x:c r="D48" s="25"/>
      <x:c r="E48" s="25"/>
      <x:c r="F48" s="99"/>
      <x:c r="G48" s="99"/>
      <x:c r="H48" s="25" t="str">
        <x:f>IF(COUNTA(A48:G48)=0,"",IF(A48="","缺少归档ID",IF(COUNTIF($A$5:$A$104,A48)&gt;1,"归档ID重复",IF(B48="","缺少来源工单ID",IF(COUNTIF('工单'!$A$5:$A$104,B48)=0,"来源工单ID不存在",IF(C48="","缺少门店名称",IF(E48="","缺少优先级",IF(F48="","缺少完结日期","可用"))))))))</x:f>
      </x:c>
    </x:row>
    <x:row r="49" ht="28" customHeight="1">
      <x:c r="A49" s="98"/>
      <x:c r="B49" s="98"/>
      <x:c r="C49" s="25"/>
      <x:c r="D49" s="25"/>
      <x:c r="E49" s="25"/>
      <x:c r="F49" s="99"/>
      <x:c r="G49" s="99"/>
      <x:c r="H49" s="25" t="str">
        <x:f>IF(COUNTA(A49:G49)=0,"",IF(A49="","缺少归档ID",IF(COUNTIF($A$5:$A$104,A49)&gt;1,"归档ID重复",IF(B49="","缺少来源工单ID",IF(COUNTIF('工单'!$A$5:$A$104,B49)=0,"来源工单ID不存在",IF(C49="","缺少门店名称",IF(E49="","缺少优先级",IF(F49="","缺少完结日期","可用"))))))))</x:f>
      </x:c>
    </x:row>
    <x:row r="50" ht="28" customHeight="1">
      <x:c r="A50" s="98"/>
      <x:c r="B50" s="98"/>
      <x:c r="C50" s="25"/>
      <x:c r="D50" s="25"/>
      <x:c r="E50" s="25"/>
      <x:c r="F50" s="99"/>
      <x:c r="G50" s="99"/>
      <x:c r="H50" s="25" t="str">
        <x:f>IF(COUNTA(A50:G50)=0,"",IF(A50="","缺少归档ID",IF(COUNTIF($A$5:$A$104,A50)&gt;1,"归档ID重复",IF(B50="","缺少来源工单ID",IF(COUNTIF('工单'!$A$5:$A$104,B50)=0,"来源工单ID不存在",IF(C50="","缺少门店名称",IF(E50="","缺少优先级",IF(F50="","缺少完结日期","可用"))))))))</x:f>
      </x:c>
    </x:row>
    <x:row r="51" ht="28" customHeight="1">
      <x:c r="A51" s="98"/>
      <x:c r="B51" s="98"/>
      <x:c r="C51" s="25"/>
      <x:c r="D51" s="25"/>
      <x:c r="E51" s="25"/>
      <x:c r="F51" s="99"/>
      <x:c r="G51" s="99"/>
      <x:c r="H51" s="25" t="str">
        <x:f>IF(COUNTA(A51:G51)=0,"",IF(A51="","缺少归档ID",IF(COUNTIF($A$5:$A$104,A51)&gt;1,"归档ID重复",IF(B51="","缺少来源工单ID",IF(COUNTIF('工单'!$A$5:$A$104,B51)=0,"来源工单ID不存在",IF(C51="","缺少门店名称",IF(E51="","缺少优先级",IF(F51="","缺少完结日期","可用"))))))))</x:f>
      </x:c>
    </x:row>
    <x:row r="52" ht="28" customHeight="1">
      <x:c r="A52" s="98"/>
      <x:c r="B52" s="98"/>
      <x:c r="C52" s="25"/>
      <x:c r="D52" s="25"/>
      <x:c r="E52" s="25"/>
      <x:c r="F52" s="99"/>
      <x:c r="G52" s="99"/>
      <x:c r="H52" s="25" t="str">
        <x:f>IF(COUNTA(A52:G52)=0,"",IF(A52="","缺少归档ID",IF(COUNTIF($A$5:$A$104,A52)&gt;1,"归档ID重复",IF(B52="","缺少来源工单ID",IF(COUNTIF('工单'!$A$5:$A$104,B52)=0,"来源工单ID不存在",IF(C52="","缺少门店名称",IF(E52="","缺少优先级",IF(F52="","缺少完结日期","可用"))))))))</x:f>
      </x:c>
    </x:row>
    <x:row r="53" ht="28" customHeight="1">
      <x:c r="A53" s="98"/>
      <x:c r="B53" s="98"/>
      <x:c r="C53" s="25"/>
      <x:c r="D53" s="25"/>
      <x:c r="E53" s="25"/>
      <x:c r="F53" s="99"/>
      <x:c r="G53" s="99"/>
      <x:c r="H53" s="25" t="str">
        <x:f>IF(COUNTA(A53:G53)=0,"",IF(A53="","缺少归档ID",IF(COUNTIF($A$5:$A$104,A53)&gt;1,"归档ID重复",IF(B53="","缺少来源工单ID",IF(COUNTIF('工单'!$A$5:$A$104,B53)=0,"来源工单ID不存在",IF(C53="","缺少门店名称",IF(E53="","缺少优先级",IF(F53="","缺少完结日期","可用"))))))))</x:f>
      </x:c>
    </x:row>
    <x:row r="54" ht="28" customHeight="1">
      <x:c r="A54" s="98"/>
      <x:c r="B54" s="98"/>
      <x:c r="C54" s="25"/>
      <x:c r="D54" s="25"/>
      <x:c r="E54" s="25"/>
      <x:c r="F54" s="99"/>
      <x:c r="G54" s="99"/>
      <x:c r="H54" s="25" t="str">
        <x:f>IF(COUNTA(A54:G54)=0,"",IF(A54="","缺少归档ID",IF(COUNTIF($A$5:$A$104,A54)&gt;1,"归档ID重复",IF(B54="","缺少来源工单ID",IF(COUNTIF('工单'!$A$5:$A$104,B54)=0,"来源工单ID不存在",IF(C54="","缺少门店名称",IF(E54="","缺少优先级",IF(F54="","缺少完结日期","可用"))))))))</x:f>
      </x:c>
    </x:row>
    <x:row r="55" ht="28" customHeight="1">
      <x:c r="A55" s="98"/>
      <x:c r="B55" s="98"/>
      <x:c r="C55" s="25"/>
      <x:c r="D55" s="25"/>
      <x:c r="E55" s="25"/>
      <x:c r="F55" s="99"/>
      <x:c r="G55" s="99"/>
      <x:c r="H55" s="25" t="str">
        <x:f>IF(COUNTA(A55:G55)=0,"",IF(A55="","缺少归档ID",IF(COUNTIF($A$5:$A$104,A55)&gt;1,"归档ID重复",IF(B55="","缺少来源工单ID",IF(COUNTIF('工单'!$A$5:$A$104,B55)=0,"来源工单ID不存在",IF(C55="","缺少门店名称",IF(E55="","缺少优先级",IF(F55="","缺少完结日期","可用"))))))))</x:f>
      </x:c>
    </x:row>
    <x:row r="56" ht="28" customHeight="1">
      <x:c r="A56" s="98"/>
      <x:c r="B56" s="98"/>
      <x:c r="C56" s="25"/>
      <x:c r="D56" s="25"/>
      <x:c r="E56" s="25"/>
      <x:c r="F56" s="99"/>
      <x:c r="G56" s="99"/>
      <x:c r="H56" s="25" t="str">
        <x:f>IF(COUNTA(A56:G56)=0,"",IF(A56="","缺少归档ID",IF(COUNTIF($A$5:$A$104,A56)&gt;1,"归档ID重复",IF(B56="","缺少来源工单ID",IF(COUNTIF('工单'!$A$5:$A$104,B56)=0,"来源工单ID不存在",IF(C56="","缺少门店名称",IF(E56="","缺少优先级",IF(F56="","缺少完结日期","可用"))))))))</x:f>
      </x:c>
    </x:row>
    <x:row r="57" ht="28" customHeight="1">
      <x:c r="A57" s="98"/>
      <x:c r="B57" s="98"/>
      <x:c r="C57" s="25"/>
      <x:c r="D57" s="25"/>
      <x:c r="E57" s="25"/>
      <x:c r="F57" s="99"/>
      <x:c r="G57" s="99"/>
      <x:c r="H57" s="25" t="str">
        <x:f>IF(COUNTA(A57:G57)=0,"",IF(A57="","缺少归档ID",IF(COUNTIF($A$5:$A$104,A57)&gt;1,"归档ID重复",IF(B57="","缺少来源工单ID",IF(COUNTIF('工单'!$A$5:$A$104,B57)=0,"来源工单ID不存在",IF(C57="","缺少门店名称",IF(E57="","缺少优先级",IF(F57="","缺少完结日期","可用"))))))))</x:f>
      </x:c>
    </x:row>
    <x:row r="58" ht="28" customHeight="1">
      <x:c r="A58" s="98"/>
      <x:c r="B58" s="98"/>
      <x:c r="C58" s="25"/>
      <x:c r="D58" s="25"/>
      <x:c r="E58" s="25"/>
      <x:c r="F58" s="99"/>
      <x:c r="G58" s="99"/>
      <x:c r="H58" s="25" t="str">
        <x:f>IF(COUNTA(A58:G58)=0,"",IF(A58="","缺少归档ID",IF(COUNTIF($A$5:$A$104,A58)&gt;1,"归档ID重复",IF(B58="","缺少来源工单ID",IF(COUNTIF('工单'!$A$5:$A$104,B58)=0,"来源工单ID不存在",IF(C58="","缺少门店名称",IF(E58="","缺少优先级",IF(F58="","缺少完结日期","可用"))))))))</x:f>
      </x:c>
    </x:row>
    <x:row r="59" ht="28" customHeight="1">
      <x:c r="A59" s="98"/>
      <x:c r="B59" s="98"/>
      <x:c r="C59" s="25"/>
      <x:c r="D59" s="25"/>
      <x:c r="E59" s="25"/>
      <x:c r="F59" s="99"/>
      <x:c r="G59" s="99"/>
      <x:c r="H59" s="25" t="str">
        <x:f>IF(COUNTA(A59:G59)=0,"",IF(A59="","缺少归档ID",IF(COUNTIF($A$5:$A$104,A59)&gt;1,"归档ID重复",IF(B59="","缺少来源工单ID",IF(COUNTIF('工单'!$A$5:$A$104,B59)=0,"来源工单ID不存在",IF(C59="","缺少门店名称",IF(E59="","缺少优先级",IF(F59="","缺少完结日期","可用"))))))))</x:f>
      </x:c>
    </x:row>
    <x:row r="60" ht="28" customHeight="1">
      <x:c r="A60" s="98"/>
      <x:c r="B60" s="98"/>
      <x:c r="C60" s="25"/>
      <x:c r="D60" s="25"/>
      <x:c r="E60" s="25"/>
      <x:c r="F60" s="99"/>
      <x:c r="G60" s="99"/>
      <x:c r="H60" s="25" t="str">
        <x:f>IF(COUNTA(A60:G60)=0,"",IF(A60="","缺少归档ID",IF(COUNTIF($A$5:$A$104,A60)&gt;1,"归档ID重复",IF(B60="","缺少来源工单ID",IF(COUNTIF('工单'!$A$5:$A$104,B60)=0,"来源工单ID不存在",IF(C60="","缺少门店名称",IF(E60="","缺少优先级",IF(F60="","缺少完结日期","可用"))))))))</x:f>
      </x:c>
    </x:row>
    <x:row r="61" ht="28" customHeight="1">
      <x:c r="A61" s="98"/>
      <x:c r="B61" s="98"/>
      <x:c r="C61" s="25"/>
      <x:c r="D61" s="25"/>
      <x:c r="E61" s="25"/>
      <x:c r="F61" s="99"/>
      <x:c r="G61" s="99"/>
      <x:c r="H61" s="25" t="str">
        <x:f>IF(COUNTA(A61:G61)=0,"",IF(A61="","缺少归档ID",IF(COUNTIF($A$5:$A$104,A61)&gt;1,"归档ID重复",IF(B61="","缺少来源工单ID",IF(COUNTIF('工单'!$A$5:$A$104,B61)=0,"来源工单ID不存在",IF(C61="","缺少门店名称",IF(E61="","缺少优先级",IF(F61="","缺少完结日期","可用"))))))))</x:f>
      </x:c>
    </x:row>
    <x:row r="62" ht="28" customHeight="1">
      <x:c r="A62" s="98"/>
      <x:c r="B62" s="98"/>
      <x:c r="C62" s="25"/>
      <x:c r="D62" s="25"/>
      <x:c r="E62" s="25"/>
      <x:c r="F62" s="99"/>
      <x:c r="G62" s="99"/>
      <x:c r="H62" s="25" t="str">
        <x:f>IF(COUNTA(A62:G62)=0,"",IF(A62="","缺少归档ID",IF(COUNTIF($A$5:$A$104,A62)&gt;1,"归档ID重复",IF(B62="","缺少来源工单ID",IF(COUNTIF('工单'!$A$5:$A$104,B62)=0,"来源工单ID不存在",IF(C62="","缺少门店名称",IF(E62="","缺少优先级",IF(F62="","缺少完结日期","可用"))))))))</x:f>
      </x:c>
    </x:row>
    <x:row r="63" ht="28" customHeight="1">
      <x:c r="A63" s="98"/>
      <x:c r="B63" s="98"/>
      <x:c r="C63" s="25"/>
      <x:c r="D63" s="25"/>
      <x:c r="E63" s="25"/>
      <x:c r="F63" s="99"/>
      <x:c r="G63" s="99"/>
      <x:c r="H63" s="25" t="str">
        <x:f>IF(COUNTA(A63:G63)=0,"",IF(A63="","缺少归档ID",IF(COUNTIF($A$5:$A$104,A63)&gt;1,"归档ID重复",IF(B63="","缺少来源工单ID",IF(COUNTIF('工单'!$A$5:$A$104,B63)=0,"来源工单ID不存在",IF(C63="","缺少门店名称",IF(E63="","缺少优先级",IF(F63="","缺少完结日期","可用"))))))))</x:f>
      </x:c>
    </x:row>
    <x:row r="64" ht="28" customHeight="1">
      <x:c r="A64" s="98"/>
      <x:c r="B64" s="98"/>
      <x:c r="C64" s="25"/>
      <x:c r="D64" s="25"/>
      <x:c r="E64" s="25"/>
      <x:c r="F64" s="99"/>
      <x:c r="G64" s="99"/>
      <x:c r="H64" s="25" t="str">
        <x:f>IF(COUNTA(A64:G64)=0,"",IF(A64="","缺少归档ID",IF(COUNTIF($A$5:$A$104,A64)&gt;1,"归档ID重复",IF(B64="","缺少来源工单ID",IF(COUNTIF('工单'!$A$5:$A$104,B64)=0,"来源工单ID不存在",IF(C64="","缺少门店名称",IF(E64="","缺少优先级",IF(F64="","缺少完结日期","可用"))))))))</x:f>
      </x:c>
    </x:row>
    <x:row r="65" ht="28" customHeight="1">
      <x:c r="A65" s="98"/>
      <x:c r="B65" s="98"/>
      <x:c r="C65" s="25"/>
      <x:c r="D65" s="25"/>
      <x:c r="E65" s="25"/>
      <x:c r="F65" s="99"/>
      <x:c r="G65" s="99"/>
      <x:c r="H65" s="25" t="str">
        <x:f>IF(COUNTA(A65:G65)=0,"",IF(A65="","缺少归档ID",IF(COUNTIF($A$5:$A$104,A65)&gt;1,"归档ID重复",IF(B65="","缺少来源工单ID",IF(COUNTIF('工单'!$A$5:$A$104,B65)=0,"来源工单ID不存在",IF(C65="","缺少门店名称",IF(E65="","缺少优先级",IF(F65="","缺少完结日期","可用"))))))))</x:f>
      </x:c>
    </x:row>
    <x:row r="66" ht="28" customHeight="1">
      <x:c r="A66" s="98"/>
      <x:c r="B66" s="98"/>
      <x:c r="C66" s="25"/>
      <x:c r="D66" s="25"/>
      <x:c r="E66" s="25"/>
      <x:c r="F66" s="99"/>
      <x:c r="G66" s="99"/>
      <x:c r="H66" s="25" t="str">
        <x:f>IF(COUNTA(A66:G66)=0,"",IF(A66="","缺少归档ID",IF(COUNTIF($A$5:$A$104,A66)&gt;1,"归档ID重复",IF(B66="","缺少来源工单ID",IF(COUNTIF('工单'!$A$5:$A$104,B66)=0,"来源工单ID不存在",IF(C66="","缺少门店名称",IF(E66="","缺少优先级",IF(F66="","缺少完结日期","可用"))))))))</x:f>
      </x:c>
    </x:row>
    <x:row r="67" ht="28" customHeight="1">
      <x:c r="A67" s="98"/>
      <x:c r="B67" s="98"/>
      <x:c r="C67" s="25"/>
      <x:c r="D67" s="25"/>
      <x:c r="E67" s="25"/>
      <x:c r="F67" s="99"/>
      <x:c r="G67" s="99"/>
      <x:c r="H67" s="25" t="str">
        <x:f>IF(COUNTA(A67:G67)=0,"",IF(A67="","缺少归档ID",IF(COUNTIF($A$5:$A$104,A67)&gt;1,"归档ID重复",IF(B67="","缺少来源工单ID",IF(COUNTIF('工单'!$A$5:$A$104,B67)=0,"来源工单ID不存在",IF(C67="","缺少门店名称",IF(E67="","缺少优先级",IF(F67="","缺少完结日期","可用"))))))))</x:f>
      </x:c>
    </x:row>
    <x:row r="68" ht="28" customHeight="1">
      <x:c r="A68" s="98"/>
      <x:c r="B68" s="98"/>
      <x:c r="C68" s="25"/>
      <x:c r="D68" s="25"/>
      <x:c r="E68" s="25"/>
      <x:c r="F68" s="99"/>
      <x:c r="G68" s="99"/>
      <x:c r="H68" s="25" t="str">
        <x:f>IF(COUNTA(A68:G68)=0,"",IF(A68="","缺少归档ID",IF(COUNTIF($A$5:$A$104,A68)&gt;1,"归档ID重复",IF(B68="","缺少来源工单ID",IF(COUNTIF('工单'!$A$5:$A$104,B68)=0,"来源工单ID不存在",IF(C68="","缺少门店名称",IF(E68="","缺少优先级",IF(F68="","缺少完结日期","可用"))))))))</x:f>
      </x:c>
    </x:row>
    <x:row r="69" ht="28" customHeight="1">
      <x:c r="A69" s="98"/>
      <x:c r="B69" s="98"/>
      <x:c r="C69" s="25"/>
      <x:c r="D69" s="25"/>
      <x:c r="E69" s="25"/>
      <x:c r="F69" s="99"/>
      <x:c r="G69" s="99"/>
      <x:c r="H69" s="25" t="str">
        <x:f>IF(COUNTA(A69:G69)=0,"",IF(A69="","缺少归档ID",IF(COUNTIF($A$5:$A$104,A69)&gt;1,"归档ID重复",IF(B69="","缺少来源工单ID",IF(COUNTIF('工单'!$A$5:$A$104,B69)=0,"来源工单ID不存在",IF(C69="","缺少门店名称",IF(E69="","缺少优先级",IF(F69="","缺少完结日期","可用"))))))))</x:f>
      </x:c>
    </x:row>
    <x:row r="70" ht="28" customHeight="1">
      <x:c r="A70" s="98"/>
      <x:c r="B70" s="98"/>
      <x:c r="C70" s="25"/>
      <x:c r="D70" s="25"/>
      <x:c r="E70" s="25"/>
      <x:c r="F70" s="99"/>
      <x:c r="G70" s="99"/>
      <x:c r="H70" s="25" t="str">
        <x:f>IF(COUNTA(A70:G70)=0,"",IF(A70="","缺少归档ID",IF(COUNTIF($A$5:$A$104,A70)&gt;1,"归档ID重复",IF(B70="","缺少来源工单ID",IF(COUNTIF('工单'!$A$5:$A$104,B70)=0,"来源工单ID不存在",IF(C70="","缺少门店名称",IF(E70="","缺少优先级",IF(F70="","缺少完结日期","可用"))))))))</x:f>
      </x:c>
    </x:row>
    <x:row r="71" ht="28" customHeight="1">
      <x:c r="A71" s="98"/>
      <x:c r="B71" s="98"/>
      <x:c r="C71" s="25"/>
      <x:c r="D71" s="25"/>
      <x:c r="E71" s="25"/>
      <x:c r="F71" s="99"/>
      <x:c r="G71" s="99"/>
      <x:c r="H71" s="25" t="str">
        <x:f>IF(COUNTA(A71:G71)=0,"",IF(A71="","缺少归档ID",IF(COUNTIF($A$5:$A$104,A71)&gt;1,"归档ID重复",IF(B71="","缺少来源工单ID",IF(COUNTIF('工单'!$A$5:$A$104,B71)=0,"来源工单ID不存在",IF(C71="","缺少门店名称",IF(E71="","缺少优先级",IF(F71="","缺少完结日期","可用"))))))))</x:f>
      </x:c>
    </x:row>
    <x:row r="72" ht="28" customHeight="1">
      <x:c r="A72" s="98"/>
      <x:c r="B72" s="98"/>
      <x:c r="C72" s="25"/>
      <x:c r="D72" s="25"/>
      <x:c r="E72" s="25"/>
      <x:c r="F72" s="99"/>
      <x:c r="G72" s="99"/>
      <x:c r="H72" s="25" t="str">
        <x:f>IF(COUNTA(A72:G72)=0,"",IF(A72="","缺少归档ID",IF(COUNTIF($A$5:$A$104,A72)&gt;1,"归档ID重复",IF(B72="","缺少来源工单ID",IF(COUNTIF('工单'!$A$5:$A$104,B72)=0,"来源工单ID不存在",IF(C72="","缺少门店名称",IF(E72="","缺少优先级",IF(F72="","缺少完结日期","可用"))))))))</x:f>
      </x:c>
    </x:row>
    <x:row r="73" ht="28" customHeight="1">
      <x:c r="A73" s="98"/>
      <x:c r="B73" s="98"/>
      <x:c r="C73" s="25"/>
      <x:c r="D73" s="25"/>
      <x:c r="E73" s="25"/>
      <x:c r="F73" s="99"/>
      <x:c r="G73" s="99"/>
      <x:c r="H73" s="25" t="str">
        <x:f>IF(COUNTA(A73:G73)=0,"",IF(A73="","缺少归档ID",IF(COUNTIF($A$5:$A$104,A73)&gt;1,"归档ID重复",IF(B73="","缺少来源工单ID",IF(COUNTIF('工单'!$A$5:$A$104,B73)=0,"来源工单ID不存在",IF(C73="","缺少门店名称",IF(E73="","缺少优先级",IF(F73="","缺少完结日期","可用"))))))))</x:f>
      </x:c>
    </x:row>
    <x:row r="74" ht="28" customHeight="1">
      <x:c r="A74" s="98"/>
      <x:c r="B74" s="98"/>
      <x:c r="C74" s="25"/>
      <x:c r="D74" s="25"/>
      <x:c r="E74" s="25"/>
      <x:c r="F74" s="99"/>
      <x:c r="G74" s="99"/>
      <x:c r="H74" s="25" t="str">
        <x:f>IF(COUNTA(A74:G74)=0,"",IF(A74="","缺少归档ID",IF(COUNTIF($A$5:$A$104,A74)&gt;1,"归档ID重复",IF(B74="","缺少来源工单ID",IF(COUNTIF('工单'!$A$5:$A$104,B74)=0,"来源工单ID不存在",IF(C74="","缺少门店名称",IF(E74="","缺少优先级",IF(F74="","缺少完结日期","可用"))))))))</x:f>
      </x:c>
    </x:row>
    <x:row r="75" ht="28" customHeight="1">
      <x:c r="A75" s="98"/>
      <x:c r="B75" s="98"/>
      <x:c r="C75" s="25"/>
      <x:c r="D75" s="25"/>
      <x:c r="E75" s="25"/>
      <x:c r="F75" s="99"/>
      <x:c r="G75" s="99"/>
      <x:c r="H75" s="25" t="str">
        <x:f>IF(COUNTA(A75:G75)=0,"",IF(A75="","缺少归档ID",IF(COUNTIF($A$5:$A$104,A75)&gt;1,"归档ID重复",IF(B75="","缺少来源工单ID",IF(COUNTIF('工单'!$A$5:$A$104,B75)=0,"来源工单ID不存在",IF(C75="","缺少门店名称",IF(E75="","缺少优先级",IF(F75="","缺少完结日期","可用"))))))))</x:f>
      </x:c>
    </x:row>
    <x:row r="76" ht="28" customHeight="1">
      <x:c r="A76" s="98"/>
      <x:c r="B76" s="98"/>
      <x:c r="C76" s="25"/>
      <x:c r="D76" s="25"/>
      <x:c r="E76" s="25"/>
      <x:c r="F76" s="99"/>
      <x:c r="G76" s="99"/>
      <x:c r="H76" s="25" t="str">
        <x:f>IF(COUNTA(A76:G76)=0,"",IF(A76="","缺少归档ID",IF(COUNTIF($A$5:$A$104,A76)&gt;1,"归档ID重复",IF(B76="","缺少来源工单ID",IF(COUNTIF('工单'!$A$5:$A$104,B76)=0,"来源工单ID不存在",IF(C76="","缺少门店名称",IF(E76="","缺少优先级",IF(F76="","缺少完结日期","可用"))))))))</x:f>
      </x:c>
    </x:row>
    <x:row r="77" ht="28" customHeight="1">
      <x:c r="A77" s="98"/>
      <x:c r="B77" s="98"/>
      <x:c r="C77" s="25"/>
      <x:c r="D77" s="25"/>
      <x:c r="E77" s="25"/>
      <x:c r="F77" s="99"/>
      <x:c r="G77" s="99"/>
      <x:c r="H77" s="25" t="str">
        <x:f>IF(COUNTA(A77:G77)=0,"",IF(A77="","缺少归档ID",IF(COUNTIF($A$5:$A$104,A77)&gt;1,"归档ID重复",IF(B77="","缺少来源工单ID",IF(COUNTIF('工单'!$A$5:$A$104,B77)=0,"来源工单ID不存在",IF(C77="","缺少门店名称",IF(E77="","缺少优先级",IF(F77="","缺少完结日期","可用"))))))))</x:f>
      </x:c>
    </x:row>
    <x:row r="78" ht="28" customHeight="1">
      <x:c r="A78" s="98"/>
      <x:c r="B78" s="98"/>
      <x:c r="C78" s="25"/>
      <x:c r="D78" s="25"/>
      <x:c r="E78" s="25"/>
      <x:c r="F78" s="99"/>
      <x:c r="G78" s="99"/>
      <x:c r="H78" s="25" t="str">
        <x:f>IF(COUNTA(A78:G78)=0,"",IF(A78="","缺少归档ID",IF(COUNTIF($A$5:$A$104,A78)&gt;1,"归档ID重复",IF(B78="","缺少来源工单ID",IF(COUNTIF('工单'!$A$5:$A$104,B78)=0,"来源工单ID不存在",IF(C78="","缺少门店名称",IF(E78="","缺少优先级",IF(F78="","缺少完结日期","可用"))))))))</x:f>
      </x:c>
    </x:row>
    <x:row r="79" ht="28" customHeight="1">
      <x:c r="A79" s="98"/>
      <x:c r="B79" s="98"/>
      <x:c r="C79" s="25"/>
      <x:c r="D79" s="25"/>
      <x:c r="E79" s="25"/>
      <x:c r="F79" s="99"/>
      <x:c r="G79" s="99"/>
      <x:c r="H79" s="25" t="str">
        <x:f>IF(COUNTA(A79:G79)=0,"",IF(A79="","缺少归档ID",IF(COUNTIF($A$5:$A$104,A79)&gt;1,"归档ID重复",IF(B79="","缺少来源工单ID",IF(COUNTIF('工单'!$A$5:$A$104,B79)=0,"来源工单ID不存在",IF(C79="","缺少门店名称",IF(E79="","缺少优先级",IF(F79="","缺少完结日期","可用"))))))))</x:f>
      </x:c>
    </x:row>
    <x:row r="80" ht="28" customHeight="1">
      <x:c r="A80" s="98"/>
      <x:c r="B80" s="98"/>
      <x:c r="C80" s="25"/>
      <x:c r="D80" s="25"/>
      <x:c r="E80" s="25"/>
      <x:c r="F80" s="99"/>
      <x:c r="G80" s="99"/>
      <x:c r="H80" s="25" t="str">
        <x:f>IF(COUNTA(A80:G80)=0,"",IF(A80="","缺少归档ID",IF(COUNTIF($A$5:$A$104,A80)&gt;1,"归档ID重复",IF(B80="","缺少来源工单ID",IF(COUNTIF('工单'!$A$5:$A$104,B80)=0,"来源工单ID不存在",IF(C80="","缺少门店名称",IF(E80="","缺少优先级",IF(F80="","缺少完结日期","可用"))))))))</x:f>
      </x:c>
    </x:row>
    <x:row r="81" ht="28" customHeight="1">
      <x:c r="A81" s="98"/>
      <x:c r="B81" s="98"/>
      <x:c r="C81" s="25"/>
      <x:c r="D81" s="25"/>
      <x:c r="E81" s="25"/>
      <x:c r="F81" s="99"/>
      <x:c r="G81" s="99"/>
      <x:c r="H81" s="25" t="str">
        <x:f>IF(COUNTA(A81:G81)=0,"",IF(A81="","缺少归档ID",IF(COUNTIF($A$5:$A$104,A81)&gt;1,"归档ID重复",IF(B81="","缺少来源工单ID",IF(COUNTIF('工单'!$A$5:$A$104,B81)=0,"来源工单ID不存在",IF(C81="","缺少门店名称",IF(E81="","缺少优先级",IF(F81="","缺少完结日期","可用"))))))))</x:f>
      </x:c>
    </x:row>
    <x:row r="82" ht="28" customHeight="1">
      <x:c r="A82" s="98"/>
      <x:c r="B82" s="98"/>
      <x:c r="C82" s="25"/>
      <x:c r="D82" s="25"/>
      <x:c r="E82" s="25"/>
      <x:c r="F82" s="99"/>
      <x:c r="G82" s="99"/>
      <x:c r="H82" s="25" t="str">
        <x:f>IF(COUNTA(A82:G82)=0,"",IF(A82="","缺少归档ID",IF(COUNTIF($A$5:$A$104,A82)&gt;1,"归档ID重复",IF(B82="","缺少来源工单ID",IF(COUNTIF('工单'!$A$5:$A$104,B82)=0,"来源工单ID不存在",IF(C82="","缺少门店名称",IF(E82="","缺少优先级",IF(F82="","缺少完结日期","可用"))))))))</x:f>
      </x:c>
    </x:row>
    <x:row r="83" ht="28" customHeight="1">
      <x:c r="A83" s="98"/>
      <x:c r="B83" s="98"/>
      <x:c r="C83" s="25"/>
      <x:c r="D83" s="25"/>
      <x:c r="E83" s="25"/>
      <x:c r="F83" s="99"/>
      <x:c r="G83" s="99"/>
      <x:c r="H83" s="25" t="str">
        <x:f>IF(COUNTA(A83:G83)=0,"",IF(A83="","缺少归档ID",IF(COUNTIF($A$5:$A$104,A83)&gt;1,"归档ID重复",IF(B83="","缺少来源工单ID",IF(COUNTIF('工单'!$A$5:$A$104,B83)=0,"来源工单ID不存在",IF(C83="","缺少门店名称",IF(E83="","缺少优先级",IF(F83="","缺少完结日期","可用"))))))))</x:f>
      </x:c>
    </x:row>
    <x:row r="84" ht="28" customHeight="1">
      <x:c r="A84" s="98"/>
      <x:c r="B84" s="98"/>
      <x:c r="C84" s="25"/>
      <x:c r="D84" s="25"/>
      <x:c r="E84" s="25"/>
      <x:c r="F84" s="99"/>
      <x:c r="G84" s="99"/>
      <x:c r="H84" s="25" t="str">
        <x:f>IF(COUNTA(A84:G84)=0,"",IF(A84="","缺少归档ID",IF(COUNTIF($A$5:$A$104,A84)&gt;1,"归档ID重复",IF(B84="","缺少来源工单ID",IF(COUNTIF('工单'!$A$5:$A$104,B84)=0,"来源工单ID不存在",IF(C84="","缺少门店名称",IF(E84="","缺少优先级",IF(F84="","缺少完结日期","可用"))))))))</x:f>
      </x:c>
    </x:row>
    <x:row r="85" ht="28" customHeight="1">
      <x:c r="A85" s="98"/>
      <x:c r="B85" s="98"/>
      <x:c r="C85" s="25"/>
      <x:c r="D85" s="25"/>
      <x:c r="E85" s="25"/>
      <x:c r="F85" s="99"/>
      <x:c r="G85" s="99"/>
      <x:c r="H85" s="25" t="str">
        <x:f>IF(COUNTA(A85:G85)=0,"",IF(A85="","缺少归档ID",IF(COUNTIF($A$5:$A$104,A85)&gt;1,"归档ID重复",IF(B85="","缺少来源工单ID",IF(COUNTIF('工单'!$A$5:$A$104,B85)=0,"来源工单ID不存在",IF(C85="","缺少门店名称",IF(E85="","缺少优先级",IF(F85="","缺少完结日期","可用"))))))))</x:f>
      </x:c>
    </x:row>
    <x:row r="86" ht="28" customHeight="1">
      <x:c r="A86" s="98"/>
      <x:c r="B86" s="98"/>
      <x:c r="C86" s="25"/>
      <x:c r="D86" s="25"/>
      <x:c r="E86" s="25"/>
      <x:c r="F86" s="99"/>
      <x:c r="G86" s="99"/>
      <x:c r="H86" s="25" t="str">
        <x:f>IF(COUNTA(A86:G86)=0,"",IF(A86="","缺少归档ID",IF(COUNTIF($A$5:$A$104,A86)&gt;1,"归档ID重复",IF(B86="","缺少来源工单ID",IF(COUNTIF('工单'!$A$5:$A$104,B86)=0,"来源工单ID不存在",IF(C86="","缺少门店名称",IF(E86="","缺少优先级",IF(F86="","缺少完结日期","可用"))))))))</x:f>
      </x:c>
    </x:row>
    <x:row r="87" ht="28" customHeight="1">
      <x:c r="A87" s="98"/>
      <x:c r="B87" s="98"/>
      <x:c r="C87" s="25"/>
      <x:c r="D87" s="25"/>
      <x:c r="E87" s="25"/>
      <x:c r="F87" s="99"/>
      <x:c r="G87" s="99"/>
      <x:c r="H87" s="25" t="str">
        <x:f>IF(COUNTA(A87:G87)=0,"",IF(A87="","缺少归档ID",IF(COUNTIF($A$5:$A$104,A87)&gt;1,"归档ID重复",IF(B87="","缺少来源工单ID",IF(COUNTIF('工单'!$A$5:$A$104,B87)=0,"来源工单ID不存在",IF(C87="","缺少门店名称",IF(E87="","缺少优先级",IF(F87="","缺少完结日期","可用"))))))))</x:f>
      </x:c>
    </x:row>
    <x:row r="88" ht="28" customHeight="1">
      <x:c r="A88" s="98"/>
      <x:c r="B88" s="98"/>
      <x:c r="C88" s="25"/>
      <x:c r="D88" s="25"/>
      <x:c r="E88" s="25"/>
      <x:c r="F88" s="99"/>
      <x:c r="G88" s="99"/>
      <x:c r="H88" s="25" t="str">
        <x:f>IF(COUNTA(A88:G88)=0,"",IF(A88="","缺少归档ID",IF(COUNTIF($A$5:$A$104,A88)&gt;1,"归档ID重复",IF(B88="","缺少来源工单ID",IF(COUNTIF('工单'!$A$5:$A$104,B88)=0,"来源工单ID不存在",IF(C88="","缺少门店名称",IF(E88="","缺少优先级",IF(F88="","缺少完结日期","可用"))))))))</x:f>
      </x:c>
    </x:row>
    <x:row r="89" ht="28" customHeight="1">
      <x:c r="A89" s="98"/>
      <x:c r="B89" s="98"/>
      <x:c r="C89" s="25"/>
      <x:c r="D89" s="25"/>
      <x:c r="E89" s="25"/>
      <x:c r="F89" s="99"/>
      <x:c r="G89" s="99"/>
      <x:c r="H89" s="25" t="str">
        <x:f>IF(COUNTA(A89:G89)=0,"",IF(A89="","缺少归档ID",IF(COUNTIF($A$5:$A$104,A89)&gt;1,"归档ID重复",IF(B89="","缺少来源工单ID",IF(COUNTIF('工单'!$A$5:$A$104,B89)=0,"来源工单ID不存在",IF(C89="","缺少门店名称",IF(E89="","缺少优先级",IF(F89="","缺少完结日期","可用"))))))))</x:f>
      </x:c>
    </x:row>
    <x:row r="90" ht="28" customHeight="1">
      <x:c r="A90" s="98"/>
      <x:c r="B90" s="98"/>
      <x:c r="C90" s="25"/>
      <x:c r="D90" s="25"/>
      <x:c r="E90" s="25"/>
      <x:c r="F90" s="99"/>
      <x:c r="G90" s="99"/>
      <x:c r="H90" s="25" t="str">
        <x:f>IF(COUNTA(A90:G90)=0,"",IF(A90="","缺少归档ID",IF(COUNTIF($A$5:$A$104,A90)&gt;1,"归档ID重复",IF(B90="","缺少来源工单ID",IF(COUNTIF('工单'!$A$5:$A$104,B90)=0,"来源工单ID不存在",IF(C90="","缺少门店名称",IF(E90="","缺少优先级",IF(F90="","缺少完结日期","可用"))))))))</x:f>
      </x:c>
    </x:row>
    <x:row r="91" ht="28" customHeight="1">
      <x:c r="A91" s="98"/>
      <x:c r="B91" s="98"/>
      <x:c r="C91" s="25"/>
      <x:c r="D91" s="25"/>
      <x:c r="E91" s="25"/>
      <x:c r="F91" s="99"/>
      <x:c r="G91" s="99"/>
      <x:c r="H91" s="25" t="str">
        <x:f>IF(COUNTA(A91:G91)=0,"",IF(A91="","缺少归档ID",IF(COUNTIF($A$5:$A$104,A91)&gt;1,"归档ID重复",IF(B91="","缺少来源工单ID",IF(COUNTIF('工单'!$A$5:$A$104,B91)=0,"来源工单ID不存在",IF(C91="","缺少门店名称",IF(E91="","缺少优先级",IF(F91="","缺少完结日期","可用"))))))))</x:f>
      </x:c>
    </x:row>
    <x:row r="92" ht="28" customHeight="1">
      <x:c r="A92" s="98"/>
      <x:c r="B92" s="98"/>
      <x:c r="C92" s="25"/>
      <x:c r="D92" s="25"/>
      <x:c r="E92" s="25"/>
      <x:c r="F92" s="99"/>
      <x:c r="G92" s="99"/>
      <x:c r="H92" s="25" t="str">
        <x:f>IF(COUNTA(A92:G92)=0,"",IF(A92="","缺少归档ID",IF(COUNTIF($A$5:$A$104,A92)&gt;1,"归档ID重复",IF(B92="","缺少来源工单ID",IF(COUNTIF('工单'!$A$5:$A$104,B92)=0,"来源工单ID不存在",IF(C92="","缺少门店名称",IF(E92="","缺少优先级",IF(F92="","缺少完结日期","可用"))))))))</x:f>
      </x:c>
    </x:row>
    <x:row r="93" ht="28" customHeight="1">
      <x:c r="A93" s="98"/>
      <x:c r="B93" s="98"/>
      <x:c r="C93" s="25"/>
      <x:c r="D93" s="25"/>
      <x:c r="E93" s="25"/>
      <x:c r="F93" s="99"/>
      <x:c r="G93" s="99"/>
      <x:c r="H93" s="25" t="str">
        <x:f>IF(COUNTA(A93:G93)=0,"",IF(A93="","缺少归档ID",IF(COUNTIF($A$5:$A$104,A93)&gt;1,"归档ID重复",IF(B93="","缺少来源工单ID",IF(COUNTIF('工单'!$A$5:$A$104,B93)=0,"来源工单ID不存在",IF(C93="","缺少门店名称",IF(E93="","缺少优先级",IF(F93="","缺少完结日期","可用"))))))))</x:f>
      </x:c>
    </x:row>
    <x:row r="94" ht="28" customHeight="1">
      <x:c r="A94" s="98"/>
      <x:c r="B94" s="98"/>
      <x:c r="C94" s="25"/>
      <x:c r="D94" s="25"/>
      <x:c r="E94" s="25"/>
      <x:c r="F94" s="99"/>
      <x:c r="G94" s="99"/>
      <x:c r="H94" s="25" t="str">
        <x:f>IF(COUNTA(A94:G94)=0,"",IF(A94="","缺少归档ID",IF(COUNTIF($A$5:$A$104,A94)&gt;1,"归档ID重复",IF(B94="","缺少来源工单ID",IF(COUNTIF('工单'!$A$5:$A$104,B94)=0,"来源工单ID不存在",IF(C94="","缺少门店名称",IF(E94="","缺少优先级",IF(F94="","缺少完结日期","可用"))))))))</x:f>
      </x:c>
    </x:row>
    <x:row r="95" ht="28" customHeight="1">
      <x:c r="A95" s="98"/>
      <x:c r="B95" s="98"/>
      <x:c r="C95" s="25"/>
      <x:c r="D95" s="25"/>
      <x:c r="E95" s="25"/>
      <x:c r="F95" s="99"/>
      <x:c r="G95" s="99"/>
      <x:c r="H95" s="25" t="str">
        <x:f>IF(COUNTA(A95:G95)=0,"",IF(A95="","缺少归档ID",IF(COUNTIF($A$5:$A$104,A95)&gt;1,"归档ID重复",IF(B95="","缺少来源工单ID",IF(COUNTIF('工单'!$A$5:$A$104,B95)=0,"来源工单ID不存在",IF(C95="","缺少门店名称",IF(E95="","缺少优先级",IF(F95="","缺少完结日期","可用"))))))))</x:f>
      </x:c>
    </x:row>
    <x:row r="96" ht="28" customHeight="1">
      <x:c r="A96" s="98"/>
      <x:c r="B96" s="98"/>
      <x:c r="C96" s="25"/>
      <x:c r="D96" s="25"/>
      <x:c r="E96" s="25"/>
      <x:c r="F96" s="99"/>
      <x:c r="G96" s="99"/>
      <x:c r="H96" s="25" t="str">
        <x:f>IF(COUNTA(A96:G96)=0,"",IF(A96="","缺少归档ID",IF(COUNTIF($A$5:$A$104,A96)&gt;1,"归档ID重复",IF(B96="","缺少来源工单ID",IF(COUNTIF('工单'!$A$5:$A$104,B96)=0,"来源工单ID不存在",IF(C96="","缺少门店名称",IF(E96="","缺少优先级",IF(F96="","缺少完结日期","可用"))))))))</x:f>
      </x:c>
    </x:row>
    <x:row r="97" ht="28" customHeight="1">
      <x:c r="A97" s="98"/>
      <x:c r="B97" s="98"/>
      <x:c r="C97" s="25"/>
      <x:c r="D97" s="25"/>
      <x:c r="E97" s="25"/>
      <x:c r="F97" s="99"/>
      <x:c r="G97" s="99"/>
      <x:c r="H97" s="25" t="str">
        <x:f>IF(COUNTA(A97:G97)=0,"",IF(A97="","缺少归档ID",IF(COUNTIF($A$5:$A$104,A97)&gt;1,"归档ID重复",IF(B97="","缺少来源工单ID",IF(COUNTIF('工单'!$A$5:$A$104,B97)=0,"来源工单ID不存在",IF(C97="","缺少门店名称",IF(E97="","缺少优先级",IF(F97="","缺少完结日期","可用"))))))))</x:f>
      </x:c>
    </x:row>
    <x:row r="98" ht="28" customHeight="1">
      <x:c r="A98" s="98"/>
      <x:c r="B98" s="98"/>
      <x:c r="C98" s="25"/>
      <x:c r="D98" s="25"/>
      <x:c r="E98" s="25"/>
      <x:c r="F98" s="99"/>
      <x:c r="G98" s="99"/>
      <x:c r="H98" s="25" t="str">
        <x:f>IF(COUNTA(A98:G98)=0,"",IF(A98="","缺少归档ID",IF(COUNTIF($A$5:$A$104,A98)&gt;1,"归档ID重复",IF(B98="","缺少来源工单ID",IF(COUNTIF('工单'!$A$5:$A$104,B98)=0,"来源工单ID不存在",IF(C98="","缺少门店名称",IF(E98="","缺少优先级",IF(F98="","缺少完结日期","可用"))))))))</x:f>
      </x:c>
    </x:row>
    <x:row r="99" ht="28" customHeight="1">
      <x:c r="A99" s="98"/>
      <x:c r="B99" s="98"/>
      <x:c r="C99" s="25"/>
      <x:c r="D99" s="25"/>
      <x:c r="E99" s="25"/>
      <x:c r="F99" s="99"/>
      <x:c r="G99" s="99"/>
      <x:c r="H99" s="25" t="str">
        <x:f>IF(COUNTA(A99:G99)=0,"",IF(A99="","缺少归档ID",IF(COUNTIF($A$5:$A$104,A99)&gt;1,"归档ID重复",IF(B99="","缺少来源工单ID",IF(COUNTIF('工单'!$A$5:$A$104,B99)=0,"来源工单ID不存在",IF(C99="","缺少门店名称",IF(E99="","缺少优先级",IF(F99="","缺少完结日期","可用"))))))))</x:f>
      </x:c>
    </x:row>
    <x:row r="100" ht="28" customHeight="1">
      <x:c r="A100" s="98"/>
      <x:c r="B100" s="98"/>
      <x:c r="C100" s="25"/>
      <x:c r="D100" s="25"/>
      <x:c r="E100" s="25"/>
      <x:c r="F100" s="99"/>
      <x:c r="G100" s="99"/>
      <x:c r="H100" s="25" t="str">
        <x:f>IF(COUNTA(A100:G100)=0,"",IF(A100="","缺少归档ID",IF(COUNTIF($A$5:$A$104,A100)&gt;1,"归档ID重复",IF(B100="","缺少来源工单ID",IF(COUNTIF('工单'!$A$5:$A$104,B100)=0,"来源工单ID不存在",IF(C100="","缺少门店名称",IF(E100="","缺少优先级",IF(F100="","缺少完结日期","可用"))))))))</x:f>
      </x:c>
    </x:row>
    <x:row r="101" ht="28" customHeight="1">
      <x:c r="A101" s="98"/>
      <x:c r="B101" s="98"/>
      <x:c r="C101" s="25"/>
      <x:c r="D101" s="25"/>
      <x:c r="E101" s="25"/>
      <x:c r="F101" s="99"/>
      <x:c r="G101" s="99"/>
      <x:c r="H101" s="25" t="str">
        <x:f>IF(COUNTA(A101:G101)=0,"",IF(A101="","缺少归档ID",IF(COUNTIF($A$5:$A$104,A101)&gt;1,"归档ID重复",IF(B101="","缺少来源工单ID",IF(COUNTIF('工单'!$A$5:$A$104,B101)=0,"来源工单ID不存在",IF(C101="","缺少门店名称",IF(E101="","缺少优先级",IF(F101="","缺少完结日期","可用"))))))))</x:f>
      </x:c>
    </x:row>
    <x:row r="102" ht="28" customHeight="1">
      <x:c r="A102" s="98"/>
      <x:c r="B102" s="98"/>
      <x:c r="C102" s="25"/>
      <x:c r="D102" s="25"/>
      <x:c r="E102" s="25"/>
      <x:c r="F102" s="99"/>
      <x:c r="G102" s="99"/>
      <x:c r="H102" s="25" t="str">
        <x:f>IF(COUNTA(A102:G102)=0,"",IF(A102="","缺少归档ID",IF(COUNTIF($A$5:$A$104,A102)&gt;1,"归档ID重复",IF(B102="","缺少来源工单ID",IF(COUNTIF('工单'!$A$5:$A$104,B102)=0,"来源工单ID不存在",IF(C102="","缺少门店名称",IF(E102="","缺少优先级",IF(F102="","缺少完结日期","可用"))))))))</x:f>
      </x:c>
    </x:row>
    <x:row r="103" ht="28" customHeight="1">
      <x:c r="A103" s="98"/>
      <x:c r="B103" s="98"/>
      <x:c r="C103" s="25"/>
      <x:c r="D103" s="25"/>
      <x:c r="E103" s="25"/>
      <x:c r="F103" s="99"/>
      <x:c r="G103" s="99"/>
      <x:c r="H103" s="25" t="str">
        <x:f>IF(COUNTA(A103:G103)=0,"",IF(A103="","缺少归档ID",IF(COUNTIF($A$5:$A$104,A103)&gt;1,"归档ID重复",IF(B103="","缺少来源工单ID",IF(COUNTIF('工单'!$A$5:$A$104,B103)=0,"来源工单ID不存在",IF(C103="","缺少门店名称",IF(E103="","缺少优先级",IF(F103="","缺少完结日期","可用"))))))))</x:f>
      </x:c>
    </x:row>
    <x:row r="104" ht="28" customHeight="1">
      <x:c r="A104" s="98"/>
      <x:c r="B104" s="98"/>
      <x:c r="C104" s="25"/>
      <x:c r="D104" s="25"/>
      <x:c r="E104" s="25"/>
      <x:c r="F104" s="99"/>
      <x:c r="G104" s="99"/>
      <x:c r="H104" s="25" t="str">
        <x:f>IF(COUNTA(A104:G104)=0,"",IF(A104="","缺少归档ID",IF(COUNTIF($A$5:$A$104,A104)&gt;1,"归档ID重复",IF(B104="","缺少来源工单ID",IF(COUNTIF('工单'!$A$5:$A$104,B104)=0,"来源工单ID不存在",IF(C104="","缺少门店名称",IF(E104="","缺少优先级",IF(F104="","缺少完结日期","可用"))))))))</x:f>
      </x:c>
    </x:row>
  </x:sheetData>
  <x:mergeCells>
    <x:mergeCell ref="A1:H1"/>
    <x:mergeCell ref="A2:H2"/>
    <x:mergeCell ref="A3:H3"/>
  </x:mergeCells>
  <x:conditionalFormatting sqref="H5:H104">
    <x:cfRule type="containsText" dxfId="9" priority="1" operator="containsText" text="可用"/>
    <x:cfRule type="containsText" dxfId="10" priority="2" operator="containsText" text="缺少"/>
    <x:cfRule type="containsText" dxfId="11" priority="3" operator="containsText" text="重复"/>
  </x:conditionalFormatting>
  <x:dataValidations count="1">
    <x:dataValidation type="list" sqref="E5:E104">
      <x:formula1>"P0,P1,P2"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18" hidden="0" customWidth="1"/>
  </x:cols>
  <x:sheetData>
    <x:row r="1" ht="34" customHeight="1">
      <x:c r="A1" s="4" t="str">
        <x:v>日报备注</x:v>
      </x:c>
      <x:c r="B1" s="4"/>
      <x:c r="C1" s="4"/>
    </x:row>
    <x:row r="2" ht="42" customHeight="1">
      <x:c r="A2" s="8" t="str">
        <x:v>每行一个日期和对应备注；同一日期只能填写一行。转换后会生成 dailySupps:{"YYYY-MM-DD":"备注"}。 </x:v>
      </x:c>
      <x:c r="B2" s="8"/>
      <x:c r="C2" s="8"/>
    </x:row>
    <x:row r="3" ht="34" customHeight="1">
      <x:c r="A3" s="66" t="str">
        <x:v>填写提示：日期使用 yyyy-mm-dd；橙色第 5 行为示例，请替换或删除。</x:v>
      </x:c>
      <x:c r="B3" s="66"/>
      <x:c r="C3" s="66"/>
    </x:row>
    <x:row r="4" ht="28" customHeight="1">
      <x:c r="A4" s="44" t="str">
        <x:v>日期（dailySupps 的键）*</x:v>
      </x:c>
      <x:c r="B4" s="44" t="str">
        <x:v>日报备注（dailySupps 的值）*</x:v>
      </x:c>
      <x:c r="C4" s="44" t="str">
        <x:v>填写检查</x:v>
      </x:c>
    </x:row>
    <x:row r="5" ht="28" customHeight="1">
      <x:c r="A5" s="96" t="n">
        <x:v>46241</x:v>
      </x:c>
      <x:c r="B5" s="95" t="str">
        <x:v>今日完成门店远程排查</x:v>
      </x:c>
      <x:c r="C5" s="95" t="str">
        <x:f>IF(COUNTA(A5:B5)=0,"",IF(A5="","缺少日期",IF(COUNTIF($A$5:$A$104,A5)&gt;1,"日期重复",IF(B5="","缺少日报备注","可用"))))</x:f>
        <x:v>可用</x:v>
      </x:c>
    </x:row>
    <x:row r="6" ht="28" customHeight="1">
      <x:c r="A6" s="99"/>
      <x:c r="B6" s="25"/>
      <x:c r="C6" s="25" t="str">
        <x:f>IF(COUNTA(A6:B6)=0,"",IF(A6="","缺少日期",IF(COUNTIF($A$5:$A$104,A6)&gt;1,"日期重复",IF(B6="","缺少日报备注","可用"))))</x:f>
      </x:c>
    </x:row>
    <x:row r="7" ht="28" customHeight="1">
      <x:c r="A7" s="99"/>
      <x:c r="B7" s="25"/>
      <x:c r="C7" s="25" t="str">
        <x:f>IF(COUNTA(A7:B7)=0,"",IF(A7="","缺少日期",IF(COUNTIF($A$5:$A$104,A7)&gt;1,"日期重复",IF(B7="","缺少日报备注","可用"))))</x:f>
      </x:c>
    </x:row>
    <x:row r="8" ht="28" customHeight="1">
      <x:c r="A8" s="99"/>
      <x:c r="B8" s="25"/>
      <x:c r="C8" s="25" t="str">
        <x:f>IF(COUNTA(A8:B8)=0,"",IF(A8="","缺少日期",IF(COUNTIF($A$5:$A$104,A8)&gt;1,"日期重复",IF(B8="","缺少日报备注","可用"))))</x:f>
      </x:c>
    </x:row>
    <x:row r="9" ht="28" customHeight="1">
      <x:c r="A9" s="99"/>
      <x:c r="B9" s="25"/>
      <x:c r="C9" s="25" t="str">
        <x:f>IF(COUNTA(A9:B9)=0,"",IF(A9="","缺少日期",IF(COUNTIF($A$5:$A$104,A9)&gt;1,"日期重复",IF(B9="","缺少日报备注","可用"))))</x:f>
      </x:c>
    </x:row>
    <x:row r="10" ht="28" customHeight="1">
      <x:c r="A10" s="99"/>
      <x:c r="B10" s="25"/>
      <x:c r="C10" s="25" t="str">
        <x:f>IF(COUNTA(A10:B10)=0,"",IF(A10="","缺少日期",IF(COUNTIF($A$5:$A$104,A10)&gt;1,"日期重复",IF(B10="","缺少日报备注","可用"))))</x:f>
      </x:c>
    </x:row>
    <x:row r="11" ht="28" customHeight="1">
      <x:c r="A11" s="99"/>
      <x:c r="B11" s="25"/>
      <x:c r="C11" s="25" t="str">
        <x:f>IF(COUNTA(A11:B11)=0,"",IF(A11="","缺少日期",IF(COUNTIF($A$5:$A$104,A11)&gt;1,"日期重复",IF(B11="","缺少日报备注","可用"))))</x:f>
      </x:c>
    </x:row>
    <x:row r="12" ht="28" customHeight="1">
      <x:c r="A12" s="99"/>
      <x:c r="B12" s="25"/>
      <x:c r="C12" s="25" t="str">
        <x:f>IF(COUNTA(A12:B12)=0,"",IF(A12="","缺少日期",IF(COUNTIF($A$5:$A$104,A12)&gt;1,"日期重复",IF(B12="","缺少日报备注","可用"))))</x:f>
      </x:c>
    </x:row>
    <x:row r="13" ht="28" customHeight="1">
      <x:c r="A13" s="99"/>
      <x:c r="B13" s="25"/>
      <x:c r="C13" s="25" t="str">
        <x:f>IF(COUNTA(A13:B13)=0,"",IF(A13="","缺少日期",IF(COUNTIF($A$5:$A$104,A13)&gt;1,"日期重复",IF(B13="","缺少日报备注","可用"))))</x:f>
      </x:c>
    </x:row>
    <x:row r="14" ht="28" customHeight="1">
      <x:c r="A14" s="99"/>
      <x:c r="B14" s="25"/>
      <x:c r="C14" s="25" t="str">
        <x:f>IF(COUNTA(A14:B14)=0,"",IF(A14="","缺少日期",IF(COUNTIF($A$5:$A$104,A14)&gt;1,"日期重复",IF(B14="","缺少日报备注","可用"))))</x:f>
      </x:c>
    </x:row>
    <x:row r="15" ht="28" customHeight="1">
      <x:c r="A15" s="99"/>
      <x:c r="B15" s="25"/>
      <x:c r="C15" s="25" t="str">
        <x:f>IF(COUNTA(A15:B15)=0,"",IF(A15="","缺少日期",IF(COUNTIF($A$5:$A$104,A15)&gt;1,"日期重复",IF(B15="","缺少日报备注","可用"))))</x:f>
      </x:c>
    </x:row>
    <x:row r="16" ht="28" customHeight="1">
      <x:c r="A16" s="99"/>
      <x:c r="B16" s="25"/>
      <x:c r="C16" s="25" t="str">
        <x:f>IF(COUNTA(A16:B16)=0,"",IF(A16="","缺少日期",IF(COUNTIF($A$5:$A$104,A16)&gt;1,"日期重复",IF(B16="","缺少日报备注","可用"))))</x:f>
      </x:c>
    </x:row>
    <x:row r="17" ht="28" customHeight="1">
      <x:c r="A17" s="99"/>
      <x:c r="B17" s="25"/>
      <x:c r="C17" s="25" t="str">
        <x:f>IF(COUNTA(A17:B17)=0,"",IF(A17="","缺少日期",IF(COUNTIF($A$5:$A$104,A17)&gt;1,"日期重复",IF(B17="","缺少日报备注","可用"))))</x:f>
      </x:c>
    </x:row>
    <x:row r="18" ht="28" customHeight="1">
      <x:c r="A18" s="99"/>
      <x:c r="B18" s="25"/>
      <x:c r="C18" s="25" t="str">
        <x:f>IF(COUNTA(A18:B18)=0,"",IF(A18="","缺少日期",IF(COUNTIF($A$5:$A$104,A18)&gt;1,"日期重复",IF(B18="","缺少日报备注","可用"))))</x:f>
      </x:c>
    </x:row>
    <x:row r="19" ht="28" customHeight="1">
      <x:c r="A19" s="99"/>
      <x:c r="B19" s="25"/>
      <x:c r="C19" s="25" t="str">
        <x:f>IF(COUNTA(A19:B19)=0,"",IF(A19="","缺少日期",IF(COUNTIF($A$5:$A$104,A19)&gt;1,"日期重复",IF(B19="","缺少日报备注","可用"))))</x:f>
      </x:c>
    </x:row>
    <x:row r="20" ht="28" customHeight="1">
      <x:c r="A20" s="99"/>
      <x:c r="B20" s="25"/>
      <x:c r="C20" s="25" t="str">
        <x:f>IF(COUNTA(A20:B20)=0,"",IF(A20="","缺少日期",IF(COUNTIF($A$5:$A$104,A20)&gt;1,"日期重复",IF(B20="","缺少日报备注","可用"))))</x:f>
      </x:c>
    </x:row>
    <x:row r="21" ht="28" customHeight="1">
      <x:c r="A21" s="99"/>
      <x:c r="B21" s="25"/>
      <x:c r="C21" s="25" t="str">
        <x:f>IF(COUNTA(A21:B21)=0,"",IF(A21="","缺少日期",IF(COUNTIF($A$5:$A$104,A21)&gt;1,"日期重复",IF(B21="","缺少日报备注","可用"))))</x:f>
      </x:c>
    </x:row>
    <x:row r="22" ht="28" customHeight="1">
      <x:c r="A22" s="99"/>
      <x:c r="B22" s="25"/>
      <x:c r="C22" s="25" t="str">
        <x:f>IF(COUNTA(A22:B22)=0,"",IF(A22="","缺少日期",IF(COUNTIF($A$5:$A$104,A22)&gt;1,"日期重复",IF(B22="","缺少日报备注","可用"))))</x:f>
      </x:c>
    </x:row>
    <x:row r="23" ht="28" customHeight="1">
      <x:c r="A23" s="99"/>
      <x:c r="B23" s="25"/>
      <x:c r="C23" s="25" t="str">
        <x:f>IF(COUNTA(A23:B23)=0,"",IF(A23="","缺少日期",IF(COUNTIF($A$5:$A$104,A23)&gt;1,"日期重复",IF(B23="","缺少日报备注","可用"))))</x:f>
      </x:c>
    </x:row>
    <x:row r="24" ht="28" customHeight="1">
      <x:c r="A24" s="99"/>
      <x:c r="B24" s="25"/>
      <x:c r="C24" s="25" t="str">
        <x:f>IF(COUNTA(A24:B24)=0,"",IF(A24="","缺少日期",IF(COUNTIF($A$5:$A$104,A24)&gt;1,"日期重复",IF(B24="","缺少日报备注","可用"))))</x:f>
      </x:c>
    </x:row>
    <x:row r="25" ht="28" customHeight="1">
      <x:c r="A25" s="99"/>
      <x:c r="B25" s="25"/>
      <x:c r="C25" s="25" t="str">
        <x:f>IF(COUNTA(A25:B25)=0,"",IF(A25="","缺少日期",IF(COUNTIF($A$5:$A$104,A25)&gt;1,"日期重复",IF(B25="","缺少日报备注","可用"))))</x:f>
      </x:c>
    </x:row>
    <x:row r="26" ht="28" customHeight="1">
      <x:c r="A26" s="99"/>
      <x:c r="B26" s="25"/>
      <x:c r="C26" s="25" t="str">
        <x:f>IF(COUNTA(A26:B26)=0,"",IF(A26="","缺少日期",IF(COUNTIF($A$5:$A$104,A26)&gt;1,"日期重复",IF(B26="","缺少日报备注","可用"))))</x:f>
      </x:c>
    </x:row>
    <x:row r="27" ht="28" customHeight="1">
      <x:c r="A27" s="99"/>
      <x:c r="B27" s="25"/>
      <x:c r="C27" s="25" t="str">
        <x:f>IF(COUNTA(A27:B27)=0,"",IF(A27="","缺少日期",IF(COUNTIF($A$5:$A$104,A27)&gt;1,"日期重复",IF(B27="","缺少日报备注","可用"))))</x:f>
      </x:c>
    </x:row>
    <x:row r="28" ht="28" customHeight="1">
      <x:c r="A28" s="99"/>
      <x:c r="B28" s="25"/>
      <x:c r="C28" s="25" t="str">
        <x:f>IF(COUNTA(A28:B28)=0,"",IF(A28="","缺少日期",IF(COUNTIF($A$5:$A$104,A28)&gt;1,"日期重复",IF(B28="","缺少日报备注","可用"))))</x:f>
      </x:c>
    </x:row>
    <x:row r="29" ht="28" customHeight="1">
      <x:c r="A29" s="99"/>
      <x:c r="B29" s="25"/>
      <x:c r="C29" s="25" t="str">
        <x:f>IF(COUNTA(A29:B29)=0,"",IF(A29="","缺少日期",IF(COUNTIF($A$5:$A$104,A29)&gt;1,"日期重复",IF(B29="","缺少日报备注","可用"))))</x:f>
      </x:c>
    </x:row>
    <x:row r="30" ht="28" customHeight="1">
      <x:c r="A30" s="99"/>
      <x:c r="B30" s="25"/>
      <x:c r="C30" s="25" t="str">
        <x:f>IF(COUNTA(A30:B30)=0,"",IF(A30="","缺少日期",IF(COUNTIF($A$5:$A$104,A30)&gt;1,"日期重复",IF(B30="","缺少日报备注","可用"))))</x:f>
      </x:c>
    </x:row>
    <x:row r="31" ht="28" customHeight="1">
      <x:c r="A31" s="99"/>
      <x:c r="B31" s="25"/>
      <x:c r="C31" s="25" t="str">
        <x:f>IF(COUNTA(A31:B31)=0,"",IF(A31="","缺少日期",IF(COUNTIF($A$5:$A$104,A31)&gt;1,"日期重复",IF(B31="","缺少日报备注","可用"))))</x:f>
      </x:c>
    </x:row>
    <x:row r="32" ht="28" customHeight="1">
      <x:c r="A32" s="99"/>
      <x:c r="B32" s="25"/>
      <x:c r="C32" s="25" t="str">
        <x:f>IF(COUNTA(A32:B32)=0,"",IF(A32="","缺少日期",IF(COUNTIF($A$5:$A$104,A32)&gt;1,"日期重复",IF(B32="","缺少日报备注","可用"))))</x:f>
      </x:c>
    </x:row>
    <x:row r="33" ht="28" customHeight="1">
      <x:c r="A33" s="99"/>
      <x:c r="B33" s="25"/>
      <x:c r="C33" s="25" t="str">
        <x:f>IF(COUNTA(A33:B33)=0,"",IF(A33="","缺少日期",IF(COUNTIF($A$5:$A$104,A33)&gt;1,"日期重复",IF(B33="","缺少日报备注","可用"))))</x:f>
      </x:c>
    </x:row>
    <x:row r="34" ht="28" customHeight="1">
      <x:c r="A34" s="99"/>
      <x:c r="B34" s="25"/>
      <x:c r="C34" s="25" t="str">
        <x:f>IF(COUNTA(A34:B34)=0,"",IF(A34="","缺少日期",IF(COUNTIF($A$5:$A$104,A34)&gt;1,"日期重复",IF(B34="","缺少日报备注","可用"))))</x:f>
      </x:c>
    </x:row>
    <x:row r="35" ht="28" customHeight="1">
      <x:c r="A35" s="99"/>
      <x:c r="B35" s="25"/>
      <x:c r="C35" s="25" t="str">
        <x:f>IF(COUNTA(A35:B35)=0,"",IF(A35="","缺少日期",IF(COUNTIF($A$5:$A$104,A35)&gt;1,"日期重复",IF(B35="","缺少日报备注","可用"))))</x:f>
      </x:c>
    </x:row>
    <x:row r="36" ht="28" customHeight="1">
      <x:c r="A36" s="99"/>
      <x:c r="B36" s="25"/>
      <x:c r="C36" s="25" t="str">
        <x:f>IF(COUNTA(A36:B36)=0,"",IF(A36="","缺少日期",IF(COUNTIF($A$5:$A$104,A36)&gt;1,"日期重复",IF(B36="","缺少日报备注","可用"))))</x:f>
      </x:c>
    </x:row>
    <x:row r="37" ht="28" customHeight="1">
      <x:c r="A37" s="99"/>
      <x:c r="B37" s="25"/>
      <x:c r="C37" s="25" t="str">
        <x:f>IF(COUNTA(A37:B37)=0,"",IF(A37="","缺少日期",IF(COUNTIF($A$5:$A$104,A37)&gt;1,"日期重复",IF(B37="","缺少日报备注","可用"))))</x:f>
      </x:c>
    </x:row>
    <x:row r="38" ht="28" customHeight="1">
      <x:c r="A38" s="99"/>
      <x:c r="B38" s="25"/>
      <x:c r="C38" s="25" t="str">
        <x:f>IF(COUNTA(A38:B38)=0,"",IF(A38="","缺少日期",IF(COUNTIF($A$5:$A$104,A38)&gt;1,"日期重复",IF(B38="","缺少日报备注","可用"))))</x:f>
      </x:c>
    </x:row>
    <x:row r="39" ht="28" customHeight="1">
      <x:c r="A39" s="99"/>
      <x:c r="B39" s="25"/>
      <x:c r="C39" s="25" t="str">
        <x:f>IF(COUNTA(A39:B39)=0,"",IF(A39="","缺少日期",IF(COUNTIF($A$5:$A$104,A39)&gt;1,"日期重复",IF(B39="","缺少日报备注","可用"))))</x:f>
      </x:c>
    </x:row>
    <x:row r="40" ht="28" customHeight="1">
      <x:c r="A40" s="99"/>
      <x:c r="B40" s="25"/>
      <x:c r="C40" s="25" t="str">
        <x:f>IF(COUNTA(A40:B40)=0,"",IF(A40="","缺少日期",IF(COUNTIF($A$5:$A$104,A40)&gt;1,"日期重复",IF(B40="","缺少日报备注","可用"))))</x:f>
      </x:c>
    </x:row>
    <x:row r="41" ht="28" customHeight="1">
      <x:c r="A41" s="99"/>
      <x:c r="B41" s="25"/>
      <x:c r="C41" s="25" t="str">
        <x:f>IF(COUNTA(A41:B41)=0,"",IF(A41="","缺少日期",IF(COUNTIF($A$5:$A$104,A41)&gt;1,"日期重复",IF(B41="","缺少日报备注","可用"))))</x:f>
      </x:c>
    </x:row>
    <x:row r="42" ht="28" customHeight="1">
      <x:c r="A42" s="99"/>
      <x:c r="B42" s="25"/>
      <x:c r="C42" s="25" t="str">
        <x:f>IF(COUNTA(A42:B42)=0,"",IF(A42="","缺少日期",IF(COUNTIF($A$5:$A$104,A42)&gt;1,"日期重复",IF(B42="","缺少日报备注","可用"))))</x:f>
      </x:c>
    </x:row>
    <x:row r="43" ht="28" customHeight="1">
      <x:c r="A43" s="99"/>
      <x:c r="B43" s="25"/>
      <x:c r="C43" s="25" t="str">
        <x:f>IF(COUNTA(A43:B43)=0,"",IF(A43="","缺少日期",IF(COUNTIF($A$5:$A$104,A43)&gt;1,"日期重复",IF(B43="","缺少日报备注","可用"))))</x:f>
      </x:c>
    </x:row>
    <x:row r="44" ht="28" customHeight="1">
      <x:c r="A44" s="99"/>
      <x:c r="B44" s="25"/>
      <x:c r="C44" s="25" t="str">
        <x:f>IF(COUNTA(A44:B44)=0,"",IF(A44="","缺少日期",IF(COUNTIF($A$5:$A$104,A44)&gt;1,"日期重复",IF(B44="","缺少日报备注","可用"))))</x:f>
      </x:c>
    </x:row>
    <x:row r="45" ht="28" customHeight="1">
      <x:c r="A45" s="99"/>
      <x:c r="B45" s="25"/>
      <x:c r="C45" s="25" t="str">
        <x:f>IF(COUNTA(A45:B45)=0,"",IF(A45="","缺少日期",IF(COUNTIF($A$5:$A$104,A45)&gt;1,"日期重复",IF(B45="","缺少日报备注","可用"))))</x:f>
      </x:c>
    </x:row>
    <x:row r="46" ht="28" customHeight="1">
      <x:c r="A46" s="99"/>
      <x:c r="B46" s="25"/>
      <x:c r="C46" s="25" t="str">
        <x:f>IF(COUNTA(A46:B46)=0,"",IF(A46="","缺少日期",IF(COUNTIF($A$5:$A$104,A46)&gt;1,"日期重复",IF(B46="","缺少日报备注","可用"))))</x:f>
      </x:c>
    </x:row>
    <x:row r="47" ht="28" customHeight="1">
      <x:c r="A47" s="99"/>
      <x:c r="B47" s="25"/>
      <x:c r="C47" s="25" t="str">
        <x:f>IF(COUNTA(A47:B47)=0,"",IF(A47="","缺少日期",IF(COUNTIF($A$5:$A$104,A47)&gt;1,"日期重复",IF(B47="","缺少日报备注","可用"))))</x:f>
      </x:c>
    </x:row>
    <x:row r="48" ht="28" customHeight="1">
      <x:c r="A48" s="99"/>
      <x:c r="B48" s="25"/>
      <x:c r="C48" s="25" t="str">
        <x:f>IF(COUNTA(A48:B48)=0,"",IF(A48="","缺少日期",IF(COUNTIF($A$5:$A$104,A48)&gt;1,"日期重复",IF(B48="","缺少日报备注","可用"))))</x:f>
      </x:c>
    </x:row>
    <x:row r="49" ht="28" customHeight="1">
      <x:c r="A49" s="99"/>
      <x:c r="B49" s="25"/>
      <x:c r="C49" s="25" t="str">
        <x:f>IF(COUNTA(A49:B49)=0,"",IF(A49="","缺少日期",IF(COUNTIF($A$5:$A$104,A49)&gt;1,"日期重复",IF(B49="","缺少日报备注","可用"))))</x:f>
      </x:c>
    </x:row>
    <x:row r="50" ht="28" customHeight="1">
      <x:c r="A50" s="99"/>
      <x:c r="B50" s="25"/>
      <x:c r="C50" s="25" t="str">
        <x:f>IF(COUNTA(A50:B50)=0,"",IF(A50="","缺少日期",IF(COUNTIF($A$5:$A$104,A50)&gt;1,"日期重复",IF(B50="","缺少日报备注","可用"))))</x:f>
      </x:c>
    </x:row>
    <x:row r="51" ht="28" customHeight="1">
      <x:c r="A51" s="99"/>
      <x:c r="B51" s="25"/>
      <x:c r="C51" s="25" t="str">
        <x:f>IF(COUNTA(A51:B51)=0,"",IF(A51="","缺少日期",IF(COUNTIF($A$5:$A$104,A51)&gt;1,"日期重复",IF(B51="","缺少日报备注","可用"))))</x:f>
      </x:c>
    </x:row>
    <x:row r="52" ht="28" customHeight="1">
      <x:c r="A52" s="99"/>
      <x:c r="B52" s="25"/>
      <x:c r="C52" s="25" t="str">
        <x:f>IF(COUNTA(A52:B52)=0,"",IF(A52="","缺少日期",IF(COUNTIF($A$5:$A$104,A52)&gt;1,"日期重复",IF(B52="","缺少日报备注","可用"))))</x:f>
      </x:c>
    </x:row>
    <x:row r="53" ht="28" customHeight="1">
      <x:c r="A53" s="99"/>
      <x:c r="B53" s="25"/>
      <x:c r="C53" s="25" t="str">
        <x:f>IF(COUNTA(A53:B53)=0,"",IF(A53="","缺少日期",IF(COUNTIF($A$5:$A$104,A53)&gt;1,"日期重复",IF(B53="","缺少日报备注","可用"))))</x:f>
      </x:c>
    </x:row>
    <x:row r="54" ht="28" customHeight="1">
      <x:c r="A54" s="99"/>
      <x:c r="B54" s="25"/>
      <x:c r="C54" s="25" t="str">
        <x:f>IF(COUNTA(A54:B54)=0,"",IF(A54="","缺少日期",IF(COUNTIF($A$5:$A$104,A54)&gt;1,"日期重复",IF(B54="","缺少日报备注","可用"))))</x:f>
      </x:c>
    </x:row>
    <x:row r="55" ht="28" customHeight="1">
      <x:c r="A55" s="99"/>
      <x:c r="B55" s="25"/>
      <x:c r="C55" s="25" t="str">
        <x:f>IF(COUNTA(A55:B55)=0,"",IF(A55="","缺少日期",IF(COUNTIF($A$5:$A$104,A55)&gt;1,"日期重复",IF(B55="","缺少日报备注","可用"))))</x:f>
      </x:c>
    </x:row>
    <x:row r="56" ht="28" customHeight="1">
      <x:c r="A56" s="99"/>
      <x:c r="B56" s="25"/>
      <x:c r="C56" s="25" t="str">
        <x:f>IF(COUNTA(A56:B56)=0,"",IF(A56="","缺少日期",IF(COUNTIF($A$5:$A$104,A56)&gt;1,"日期重复",IF(B56="","缺少日报备注","可用"))))</x:f>
      </x:c>
    </x:row>
    <x:row r="57" ht="28" customHeight="1">
      <x:c r="A57" s="99"/>
      <x:c r="B57" s="25"/>
      <x:c r="C57" s="25" t="str">
        <x:f>IF(COUNTA(A57:B57)=0,"",IF(A57="","缺少日期",IF(COUNTIF($A$5:$A$104,A57)&gt;1,"日期重复",IF(B57="","缺少日报备注","可用"))))</x:f>
      </x:c>
    </x:row>
    <x:row r="58" ht="28" customHeight="1">
      <x:c r="A58" s="99"/>
      <x:c r="B58" s="25"/>
      <x:c r="C58" s="25" t="str">
        <x:f>IF(COUNTA(A58:B58)=0,"",IF(A58="","缺少日期",IF(COUNTIF($A$5:$A$104,A58)&gt;1,"日期重复",IF(B58="","缺少日报备注","可用"))))</x:f>
      </x:c>
    </x:row>
    <x:row r="59" ht="28" customHeight="1">
      <x:c r="A59" s="99"/>
      <x:c r="B59" s="25"/>
      <x:c r="C59" s="25" t="str">
        <x:f>IF(COUNTA(A59:B59)=0,"",IF(A59="","缺少日期",IF(COUNTIF($A$5:$A$104,A59)&gt;1,"日期重复",IF(B59="","缺少日报备注","可用"))))</x:f>
      </x:c>
    </x:row>
    <x:row r="60" ht="28" customHeight="1">
      <x:c r="A60" s="99"/>
      <x:c r="B60" s="25"/>
      <x:c r="C60" s="25" t="str">
        <x:f>IF(COUNTA(A60:B60)=0,"",IF(A60="","缺少日期",IF(COUNTIF($A$5:$A$104,A60)&gt;1,"日期重复",IF(B60="","缺少日报备注","可用"))))</x:f>
      </x:c>
    </x:row>
    <x:row r="61" ht="28" customHeight="1">
      <x:c r="A61" s="99"/>
      <x:c r="B61" s="25"/>
      <x:c r="C61" s="25" t="str">
        <x:f>IF(COUNTA(A61:B61)=0,"",IF(A61="","缺少日期",IF(COUNTIF($A$5:$A$104,A61)&gt;1,"日期重复",IF(B61="","缺少日报备注","可用"))))</x:f>
      </x:c>
    </x:row>
    <x:row r="62" ht="28" customHeight="1">
      <x:c r="A62" s="99"/>
      <x:c r="B62" s="25"/>
      <x:c r="C62" s="25" t="str">
        <x:f>IF(COUNTA(A62:B62)=0,"",IF(A62="","缺少日期",IF(COUNTIF($A$5:$A$104,A62)&gt;1,"日期重复",IF(B62="","缺少日报备注","可用"))))</x:f>
      </x:c>
    </x:row>
    <x:row r="63" ht="28" customHeight="1">
      <x:c r="A63" s="99"/>
      <x:c r="B63" s="25"/>
      <x:c r="C63" s="25" t="str">
        <x:f>IF(COUNTA(A63:B63)=0,"",IF(A63="","缺少日期",IF(COUNTIF($A$5:$A$104,A63)&gt;1,"日期重复",IF(B63="","缺少日报备注","可用"))))</x:f>
      </x:c>
    </x:row>
    <x:row r="64" ht="28" customHeight="1">
      <x:c r="A64" s="99"/>
      <x:c r="B64" s="25"/>
      <x:c r="C64" s="25" t="str">
        <x:f>IF(COUNTA(A64:B64)=0,"",IF(A64="","缺少日期",IF(COUNTIF($A$5:$A$104,A64)&gt;1,"日期重复",IF(B64="","缺少日报备注","可用"))))</x:f>
      </x:c>
    </x:row>
    <x:row r="65" ht="28" customHeight="1">
      <x:c r="A65" s="99"/>
      <x:c r="B65" s="25"/>
      <x:c r="C65" s="25" t="str">
        <x:f>IF(COUNTA(A65:B65)=0,"",IF(A65="","缺少日期",IF(COUNTIF($A$5:$A$104,A65)&gt;1,"日期重复",IF(B65="","缺少日报备注","可用"))))</x:f>
      </x:c>
    </x:row>
    <x:row r="66" ht="28" customHeight="1">
      <x:c r="A66" s="99"/>
      <x:c r="B66" s="25"/>
      <x:c r="C66" s="25" t="str">
        <x:f>IF(COUNTA(A66:B66)=0,"",IF(A66="","缺少日期",IF(COUNTIF($A$5:$A$104,A66)&gt;1,"日期重复",IF(B66="","缺少日报备注","可用"))))</x:f>
      </x:c>
    </x:row>
    <x:row r="67" ht="28" customHeight="1">
      <x:c r="A67" s="99"/>
      <x:c r="B67" s="25"/>
      <x:c r="C67" s="25" t="str">
        <x:f>IF(COUNTA(A67:B67)=0,"",IF(A67="","缺少日期",IF(COUNTIF($A$5:$A$104,A67)&gt;1,"日期重复",IF(B67="","缺少日报备注","可用"))))</x:f>
      </x:c>
    </x:row>
    <x:row r="68" ht="28" customHeight="1">
      <x:c r="A68" s="99"/>
      <x:c r="B68" s="25"/>
      <x:c r="C68" s="25" t="str">
        <x:f>IF(COUNTA(A68:B68)=0,"",IF(A68="","缺少日期",IF(COUNTIF($A$5:$A$104,A68)&gt;1,"日期重复",IF(B68="","缺少日报备注","可用"))))</x:f>
      </x:c>
    </x:row>
    <x:row r="69" ht="28" customHeight="1">
      <x:c r="A69" s="99"/>
      <x:c r="B69" s="25"/>
      <x:c r="C69" s="25" t="str">
        <x:f>IF(COUNTA(A69:B69)=0,"",IF(A69="","缺少日期",IF(COUNTIF($A$5:$A$104,A69)&gt;1,"日期重复",IF(B69="","缺少日报备注","可用"))))</x:f>
      </x:c>
    </x:row>
    <x:row r="70" ht="28" customHeight="1">
      <x:c r="A70" s="99"/>
      <x:c r="B70" s="25"/>
      <x:c r="C70" s="25" t="str">
        <x:f>IF(COUNTA(A70:B70)=0,"",IF(A70="","缺少日期",IF(COUNTIF($A$5:$A$104,A70)&gt;1,"日期重复",IF(B70="","缺少日报备注","可用"))))</x:f>
      </x:c>
    </x:row>
    <x:row r="71" ht="28" customHeight="1">
      <x:c r="A71" s="99"/>
      <x:c r="B71" s="25"/>
      <x:c r="C71" s="25" t="str">
        <x:f>IF(COUNTA(A71:B71)=0,"",IF(A71="","缺少日期",IF(COUNTIF($A$5:$A$104,A71)&gt;1,"日期重复",IF(B71="","缺少日报备注","可用"))))</x:f>
      </x:c>
    </x:row>
    <x:row r="72" ht="28" customHeight="1">
      <x:c r="A72" s="99"/>
      <x:c r="B72" s="25"/>
      <x:c r="C72" s="25" t="str">
        <x:f>IF(COUNTA(A72:B72)=0,"",IF(A72="","缺少日期",IF(COUNTIF($A$5:$A$104,A72)&gt;1,"日期重复",IF(B72="","缺少日报备注","可用"))))</x:f>
      </x:c>
    </x:row>
    <x:row r="73" ht="28" customHeight="1">
      <x:c r="A73" s="99"/>
      <x:c r="B73" s="25"/>
      <x:c r="C73" s="25" t="str">
        <x:f>IF(COUNTA(A73:B73)=0,"",IF(A73="","缺少日期",IF(COUNTIF($A$5:$A$104,A73)&gt;1,"日期重复",IF(B73="","缺少日报备注","可用"))))</x:f>
      </x:c>
    </x:row>
    <x:row r="74" ht="28" customHeight="1">
      <x:c r="A74" s="99"/>
      <x:c r="B74" s="25"/>
      <x:c r="C74" s="25" t="str">
        <x:f>IF(COUNTA(A74:B74)=0,"",IF(A74="","缺少日期",IF(COUNTIF($A$5:$A$104,A74)&gt;1,"日期重复",IF(B74="","缺少日报备注","可用"))))</x:f>
      </x:c>
    </x:row>
    <x:row r="75" ht="28" customHeight="1">
      <x:c r="A75" s="99"/>
      <x:c r="B75" s="25"/>
      <x:c r="C75" s="25" t="str">
        <x:f>IF(COUNTA(A75:B75)=0,"",IF(A75="","缺少日期",IF(COUNTIF($A$5:$A$104,A75)&gt;1,"日期重复",IF(B75="","缺少日报备注","可用"))))</x:f>
      </x:c>
    </x:row>
    <x:row r="76" ht="28" customHeight="1">
      <x:c r="A76" s="99"/>
      <x:c r="B76" s="25"/>
      <x:c r="C76" s="25" t="str">
        <x:f>IF(COUNTA(A76:B76)=0,"",IF(A76="","缺少日期",IF(COUNTIF($A$5:$A$104,A76)&gt;1,"日期重复",IF(B76="","缺少日报备注","可用"))))</x:f>
      </x:c>
    </x:row>
    <x:row r="77" ht="28" customHeight="1">
      <x:c r="A77" s="99"/>
      <x:c r="B77" s="25"/>
      <x:c r="C77" s="25" t="str">
        <x:f>IF(COUNTA(A77:B77)=0,"",IF(A77="","缺少日期",IF(COUNTIF($A$5:$A$104,A77)&gt;1,"日期重复",IF(B77="","缺少日报备注","可用"))))</x:f>
      </x:c>
    </x:row>
    <x:row r="78" ht="28" customHeight="1">
      <x:c r="A78" s="99"/>
      <x:c r="B78" s="25"/>
      <x:c r="C78" s="25" t="str">
        <x:f>IF(COUNTA(A78:B78)=0,"",IF(A78="","缺少日期",IF(COUNTIF($A$5:$A$104,A78)&gt;1,"日期重复",IF(B78="","缺少日报备注","可用"))))</x:f>
      </x:c>
    </x:row>
    <x:row r="79" ht="28" customHeight="1">
      <x:c r="A79" s="99"/>
      <x:c r="B79" s="25"/>
      <x:c r="C79" s="25" t="str">
        <x:f>IF(COUNTA(A79:B79)=0,"",IF(A79="","缺少日期",IF(COUNTIF($A$5:$A$104,A79)&gt;1,"日期重复",IF(B79="","缺少日报备注","可用"))))</x:f>
      </x:c>
    </x:row>
    <x:row r="80" ht="28" customHeight="1">
      <x:c r="A80" s="99"/>
      <x:c r="B80" s="25"/>
      <x:c r="C80" s="25" t="str">
        <x:f>IF(COUNTA(A80:B80)=0,"",IF(A80="","缺少日期",IF(COUNTIF($A$5:$A$104,A80)&gt;1,"日期重复",IF(B80="","缺少日报备注","可用"))))</x:f>
      </x:c>
    </x:row>
    <x:row r="81" ht="28" customHeight="1">
      <x:c r="A81" s="99"/>
      <x:c r="B81" s="25"/>
      <x:c r="C81" s="25" t="str">
        <x:f>IF(COUNTA(A81:B81)=0,"",IF(A81="","缺少日期",IF(COUNTIF($A$5:$A$104,A81)&gt;1,"日期重复",IF(B81="","缺少日报备注","可用"))))</x:f>
      </x:c>
    </x:row>
    <x:row r="82" ht="28" customHeight="1">
      <x:c r="A82" s="99"/>
      <x:c r="B82" s="25"/>
      <x:c r="C82" s="25" t="str">
        <x:f>IF(COUNTA(A82:B82)=0,"",IF(A82="","缺少日期",IF(COUNTIF($A$5:$A$104,A82)&gt;1,"日期重复",IF(B82="","缺少日报备注","可用"))))</x:f>
      </x:c>
    </x:row>
    <x:row r="83" ht="28" customHeight="1">
      <x:c r="A83" s="99"/>
      <x:c r="B83" s="25"/>
      <x:c r="C83" s="25" t="str">
        <x:f>IF(COUNTA(A83:B83)=0,"",IF(A83="","缺少日期",IF(COUNTIF($A$5:$A$104,A83)&gt;1,"日期重复",IF(B83="","缺少日报备注","可用"))))</x:f>
      </x:c>
    </x:row>
    <x:row r="84" ht="28" customHeight="1">
      <x:c r="A84" s="99"/>
      <x:c r="B84" s="25"/>
      <x:c r="C84" s="25" t="str">
        <x:f>IF(COUNTA(A84:B84)=0,"",IF(A84="","缺少日期",IF(COUNTIF($A$5:$A$104,A84)&gt;1,"日期重复",IF(B84="","缺少日报备注","可用"))))</x:f>
      </x:c>
    </x:row>
    <x:row r="85" ht="28" customHeight="1">
      <x:c r="A85" s="99"/>
      <x:c r="B85" s="25"/>
      <x:c r="C85" s="25" t="str">
        <x:f>IF(COUNTA(A85:B85)=0,"",IF(A85="","缺少日期",IF(COUNTIF($A$5:$A$104,A85)&gt;1,"日期重复",IF(B85="","缺少日报备注","可用"))))</x:f>
      </x:c>
    </x:row>
    <x:row r="86" ht="28" customHeight="1">
      <x:c r="A86" s="99"/>
      <x:c r="B86" s="25"/>
      <x:c r="C86" s="25" t="str">
        <x:f>IF(COUNTA(A86:B86)=0,"",IF(A86="","缺少日期",IF(COUNTIF($A$5:$A$104,A86)&gt;1,"日期重复",IF(B86="","缺少日报备注","可用"))))</x:f>
      </x:c>
    </x:row>
    <x:row r="87" ht="28" customHeight="1">
      <x:c r="A87" s="99"/>
      <x:c r="B87" s="25"/>
      <x:c r="C87" s="25" t="str">
        <x:f>IF(COUNTA(A87:B87)=0,"",IF(A87="","缺少日期",IF(COUNTIF($A$5:$A$104,A87)&gt;1,"日期重复",IF(B87="","缺少日报备注","可用"))))</x:f>
      </x:c>
    </x:row>
    <x:row r="88" ht="28" customHeight="1">
      <x:c r="A88" s="99"/>
      <x:c r="B88" s="25"/>
      <x:c r="C88" s="25" t="str">
        <x:f>IF(COUNTA(A88:B88)=0,"",IF(A88="","缺少日期",IF(COUNTIF($A$5:$A$104,A88)&gt;1,"日期重复",IF(B88="","缺少日报备注","可用"))))</x:f>
      </x:c>
    </x:row>
    <x:row r="89" ht="28" customHeight="1">
      <x:c r="A89" s="99"/>
      <x:c r="B89" s="25"/>
      <x:c r="C89" s="25" t="str">
        <x:f>IF(COUNTA(A89:B89)=0,"",IF(A89="","缺少日期",IF(COUNTIF($A$5:$A$104,A89)&gt;1,"日期重复",IF(B89="","缺少日报备注","可用"))))</x:f>
      </x:c>
    </x:row>
    <x:row r="90" ht="28" customHeight="1">
      <x:c r="A90" s="99"/>
      <x:c r="B90" s="25"/>
      <x:c r="C90" s="25" t="str">
        <x:f>IF(COUNTA(A90:B90)=0,"",IF(A90="","缺少日期",IF(COUNTIF($A$5:$A$104,A90)&gt;1,"日期重复",IF(B90="","缺少日报备注","可用"))))</x:f>
      </x:c>
    </x:row>
    <x:row r="91" ht="28" customHeight="1">
      <x:c r="A91" s="99"/>
      <x:c r="B91" s="25"/>
      <x:c r="C91" s="25" t="str">
        <x:f>IF(COUNTA(A91:B91)=0,"",IF(A91="","缺少日期",IF(COUNTIF($A$5:$A$104,A91)&gt;1,"日期重复",IF(B91="","缺少日报备注","可用"))))</x:f>
      </x:c>
    </x:row>
    <x:row r="92" ht="28" customHeight="1">
      <x:c r="A92" s="99"/>
      <x:c r="B92" s="25"/>
      <x:c r="C92" s="25" t="str">
        <x:f>IF(COUNTA(A92:B92)=0,"",IF(A92="","缺少日期",IF(COUNTIF($A$5:$A$104,A92)&gt;1,"日期重复",IF(B92="","缺少日报备注","可用"))))</x:f>
      </x:c>
    </x:row>
    <x:row r="93" ht="28" customHeight="1">
      <x:c r="A93" s="99"/>
      <x:c r="B93" s="25"/>
      <x:c r="C93" s="25" t="str">
        <x:f>IF(COUNTA(A93:B93)=0,"",IF(A93="","缺少日期",IF(COUNTIF($A$5:$A$104,A93)&gt;1,"日期重复",IF(B93="","缺少日报备注","可用"))))</x:f>
      </x:c>
    </x:row>
    <x:row r="94" ht="28" customHeight="1">
      <x:c r="A94" s="99"/>
      <x:c r="B94" s="25"/>
      <x:c r="C94" s="25" t="str">
        <x:f>IF(COUNTA(A94:B94)=0,"",IF(A94="","缺少日期",IF(COUNTIF($A$5:$A$104,A94)&gt;1,"日期重复",IF(B94="","缺少日报备注","可用"))))</x:f>
      </x:c>
    </x:row>
    <x:row r="95" ht="28" customHeight="1">
      <x:c r="A95" s="99"/>
      <x:c r="B95" s="25"/>
      <x:c r="C95" s="25" t="str">
        <x:f>IF(COUNTA(A95:B95)=0,"",IF(A95="","缺少日期",IF(COUNTIF($A$5:$A$104,A95)&gt;1,"日期重复",IF(B95="","缺少日报备注","可用"))))</x:f>
      </x:c>
    </x:row>
    <x:row r="96" ht="28" customHeight="1">
      <x:c r="A96" s="99"/>
      <x:c r="B96" s="25"/>
      <x:c r="C96" s="25" t="str">
        <x:f>IF(COUNTA(A96:B96)=0,"",IF(A96="","缺少日期",IF(COUNTIF($A$5:$A$104,A96)&gt;1,"日期重复",IF(B96="","缺少日报备注","可用"))))</x:f>
      </x:c>
    </x:row>
    <x:row r="97" ht="28" customHeight="1">
      <x:c r="A97" s="99"/>
      <x:c r="B97" s="25"/>
      <x:c r="C97" s="25" t="str">
        <x:f>IF(COUNTA(A97:B97)=0,"",IF(A97="","缺少日期",IF(COUNTIF($A$5:$A$104,A97)&gt;1,"日期重复",IF(B97="","缺少日报备注","可用"))))</x:f>
      </x:c>
    </x:row>
    <x:row r="98" ht="28" customHeight="1">
      <x:c r="A98" s="99"/>
      <x:c r="B98" s="25"/>
      <x:c r="C98" s="25" t="str">
        <x:f>IF(COUNTA(A98:B98)=0,"",IF(A98="","缺少日期",IF(COUNTIF($A$5:$A$104,A98)&gt;1,"日期重复",IF(B98="","缺少日报备注","可用"))))</x:f>
      </x:c>
    </x:row>
    <x:row r="99" ht="28" customHeight="1">
      <x:c r="A99" s="99"/>
      <x:c r="B99" s="25"/>
      <x:c r="C99" s="25" t="str">
        <x:f>IF(COUNTA(A99:B99)=0,"",IF(A99="","缺少日期",IF(COUNTIF($A$5:$A$104,A99)&gt;1,"日期重复",IF(B99="","缺少日报备注","可用"))))</x:f>
      </x:c>
    </x:row>
    <x:row r="100" ht="28" customHeight="1">
      <x:c r="A100" s="99"/>
      <x:c r="B100" s="25"/>
      <x:c r="C100" s="25" t="str">
        <x:f>IF(COUNTA(A100:B100)=0,"",IF(A100="","缺少日期",IF(COUNTIF($A$5:$A$104,A100)&gt;1,"日期重复",IF(B100="","缺少日报备注","可用"))))</x:f>
      </x:c>
    </x:row>
    <x:row r="101" ht="28" customHeight="1">
      <x:c r="A101" s="99"/>
      <x:c r="B101" s="25"/>
      <x:c r="C101" s="25" t="str">
        <x:f>IF(COUNTA(A101:B101)=0,"",IF(A101="","缺少日期",IF(COUNTIF($A$5:$A$104,A101)&gt;1,"日期重复",IF(B101="","缺少日报备注","可用"))))</x:f>
      </x:c>
    </x:row>
    <x:row r="102" ht="28" customHeight="1">
      <x:c r="A102" s="99"/>
      <x:c r="B102" s="25"/>
      <x:c r="C102" s="25" t="str">
        <x:f>IF(COUNTA(A102:B102)=0,"",IF(A102="","缺少日期",IF(COUNTIF($A$5:$A$104,A102)&gt;1,"日期重复",IF(B102="","缺少日报备注","可用"))))</x:f>
      </x:c>
    </x:row>
    <x:row r="103" ht="28" customHeight="1">
      <x:c r="A103" s="99"/>
      <x:c r="B103" s="25"/>
      <x:c r="C103" s="25" t="str">
        <x:f>IF(COUNTA(A103:B103)=0,"",IF(A103="","缺少日期",IF(COUNTIF($A$5:$A$104,A103)&gt;1,"日期重复",IF(B103="","缺少日报备注","可用"))))</x:f>
      </x:c>
    </x:row>
    <x:row r="104" ht="28" customHeight="1">
      <x:c r="A104" s="99"/>
      <x:c r="B104" s="25"/>
      <x:c r="C104" s="25" t="str">
        <x:f>IF(COUNTA(A104:B104)=0,"",IF(A104="","缺少日期",IF(COUNTIF($A$5:$A$104,A104)&gt;1,"日期重复",IF(B104="","缺少日报备注","可用"))))</x:f>
      </x:c>
    </x:row>
  </x:sheetData>
  <x:mergeCells>
    <x:mergeCell ref="A1:C1"/>
    <x:mergeCell ref="A2:C2"/>
    <x:mergeCell ref="A3:C3"/>
  </x:mergeCells>
  <x:conditionalFormatting sqref="C5:C104">
    <x:cfRule type="containsText" dxfId="12" priority="1" operator="containsText" text="可用"/>
    <x:cfRule type="containsText" dxfId="13" priority="2" operator="containsText" text="缺少"/>
    <x:cfRule type="containsText" dxfId="14" priority="3" operator="containsText" text="重复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26" hidden="0" customWidth="1"/>
    <x:col min="5" max="5" width="22" hidden="0" customWidth="1"/>
  </x:cols>
  <x:sheetData>
    <x:row r="1" ht="34" customHeight="1">
      <x:c r="A1" s="4" t="str">
        <x:v>备份信息（选填）</x:v>
      </x:c>
      <x:c r="B1" s="4"/>
      <x:c r="C1" s="4"/>
      <x:c r="D1" s="4"/>
      <x:c r="E1" s="4"/>
    </x:row>
    <x:row r="2" ht="42" customHeight="1">
      <x:c r="A2" s="8" t="str">
        <x:v>仅用于记录备份来源；当前恢复会忽略这些字段，不会改变登录账号、部门、管理员身份或全数据查看权限。 </x:v>
      </x:c>
      <x:c r="B2" s="8"/>
      <x:c r="C2" s="8"/>
      <x:c r="D2" s="8"/>
      <x:c r="E2" s="8"/>
    </x:row>
    <x:row r="3" ht="34" customHeight="1">
      <x:c r="A3" s="66" t="str">
        <x:v>权限说明：管理员 / 全数据查看权限由云端 Supabase 账号设置控制，不能通过备份文件恢复。</x:v>
      </x:c>
      <x:c r="B3" s="66"/>
      <x:c r="C3" s="66"/>
      <x:c r="D3" s="66"/>
      <x:c r="E3" s="66"/>
    </x:row>
    <x:row r="4" ht="28" customHeight="1">
      <x:c r="A4" s="44" t="str">
        <x:v>姓名（user.name）</x:v>
      </x:c>
      <x:c r="B4" s="44" t="str">
        <x:v>部门（user.department）</x:v>
      </x:c>
      <x:c r="C4" s="44" t="str">
        <x:v>角色（user.role）</x:v>
      </x:c>
      <x:c r="D4" s="44" t="str">
        <x:v>导出日期（exportedAt）</x:v>
      </x:c>
      <x:c r="E4" s="44" t="str">
        <x:v>是否参与恢复</x:v>
      </x:c>
    </x:row>
    <x:row r="5" ht="28" customHeight="1">
      <x:c r="A5" s="95" t="str">
        <x:v>Mr.冯</x:v>
      </x:c>
      <x:c r="B5" s="95" t="str">
        <x:v>大客户服务部</x:v>
      </x:c>
      <x:c r="C5" s="95" t="str">
        <x:v>admin</x:v>
      </x:c>
      <x:c r="D5" s="96" t="n">
        <x:v>46241</x:v>
      </x:c>
      <x:c r="E5" s="95" t="str">
        <x:v>否，仅记录</x:v>
      </x:c>
    </x:row>
    <x:row r="6" ht="28" customHeight="1">
      <x:c r="A6" s="25"/>
      <x:c r="B6" s="25"/>
      <x:c r="C6" s="25"/>
      <x:c r="D6" s="99"/>
      <x:c r="E6" s="25"/>
    </x:row>
    <x:row r="7" ht="28" customHeight="1">
      <x:c r="A7" s="25"/>
      <x:c r="B7" s="25"/>
      <x:c r="C7" s="25"/>
      <x:c r="D7" s="99"/>
      <x:c r="E7" s="25"/>
    </x:row>
    <x:row r="8" ht="28" customHeight="1">
      <x:c r="A8" s="25"/>
      <x:c r="B8" s="25"/>
      <x:c r="C8" s="25"/>
      <x:c r="D8" s="99"/>
      <x:c r="E8" s="25"/>
    </x:row>
    <x:row r="9" ht="28" customHeight="1">
      <x:c r="A9" s="25"/>
      <x:c r="B9" s="25"/>
      <x:c r="C9" s="25"/>
      <x:c r="D9" s="99"/>
      <x:c r="E9" s="25"/>
    </x:row>
    <x:row r="10" ht="28" customHeight="1">
      <x:c r="A10" s="25"/>
      <x:c r="B10" s="25"/>
      <x:c r="C10" s="25"/>
      <x:c r="D10" s="99"/>
      <x:c r="E10" s="25"/>
    </x:row>
    <x:row r="11" ht="28" customHeight="1">
      <x:c r="A11" s="25"/>
      <x:c r="B11" s="25"/>
      <x:c r="C11" s="25"/>
      <x:c r="D11" s="99"/>
      <x:c r="E11" s="25"/>
    </x:row>
    <x:row r="12" ht="28" customHeight="1">
      <x:c r="A12" s="25"/>
      <x:c r="B12" s="25"/>
      <x:c r="C12" s="25"/>
      <x:c r="D12" s="99"/>
      <x:c r="E12" s="25"/>
    </x:row>
    <x:row r="13" ht="28" customHeight="1">
      <x:c r="A13" s="25"/>
      <x:c r="B13" s="25"/>
      <x:c r="C13" s="25"/>
      <x:c r="D13" s="99"/>
      <x:c r="E13" s="25"/>
    </x:row>
    <x:row r="14" ht="28" customHeight="1">
      <x:c r="A14" s="25"/>
      <x:c r="B14" s="25"/>
      <x:c r="C14" s="25"/>
      <x:c r="D14" s="99"/>
      <x:c r="E14" s="25"/>
    </x:row>
    <x:row r="15" ht="28" customHeight="1">
      <x:c r="A15" s="25"/>
      <x:c r="B15" s="25"/>
      <x:c r="C15" s="25"/>
      <x:c r="D15" s="99"/>
      <x:c r="E15" s="25"/>
    </x:row>
    <x:row r="16" ht="28" customHeight="1">
      <x:c r="A16" s="25"/>
      <x:c r="B16" s="25"/>
      <x:c r="C16" s="25"/>
      <x:c r="D16" s="99"/>
      <x:c r="E16" s="25"/>
    </x:row>
    <x:row r="17" ht="28" customHeight="1">
      <x:c r="A17" s="25"/>
      <x:c r="B17" s="25"/>
      <x:c r="C17" s="25"/>
      <x:c r="D17" s="99"/>
      <x:c r="E17" s="25"/>
    </x:row>
    <x:row r="18" ht="28" customHeight="1">
      <x:c r="A18" s="25"/>
      <x:c r="B18" s="25"/>
      <x:c r="C18" s="25"/>
      <x:c r="D18" s="99"/>
      <x:c r="E18" s="25"/>
    </x:row>
    <x:row r="19" ht="28" customHeight="1">
      <x:c r="A19" s="25"/>
      <x:c r="B19" s="25"/>
      <x:c r="C19" s="25"/>
      <x:c r="D19" s="99"/>
      <x:c r="E19" s="25"/>
    </x:row>
    <x:row r="20" ht="28" customHeight="1">
      <x:c r="A20" s="25"/>
      <x:c r="B20" s="25"/>
      <x:c r="C20" s="25"/>
      <x:c r="D20" s="99"/>
      <x:c r="E20" s="25"/>
    </x:row>
    <x:row r="21">
      <x:c r="D21" s="63"/>
    </x:row>
    <x:row r="22">
      <x:c r="D22" s="63"/>
    </x:row>
    <x:row r="23">
      <x:c r="D23" s="63"/>
    </x:row>
    <x:row r="24">
      <x:c r="D24" s="63"/>
    </x:row>
    <x:row r="25">
      <x:c r="D25" s="63"/>
    </x:row>
    <x:row r="26">
      <x:c r="D26" s="63"/>
    </x:row>
    <x:row r="27">
      <x:c r="D27" s="63"/>
    </x:row>
    <x:row r="28">
      <x:c r="D28" s="63"/>
    </x:row>
    <x:row r="29">
      <x:c r="D29" s="63"/>
    </x:row>
    <x:row r="30">
      <x:c r="D30" s="63"/>
    </x:row>
    <x:row r="31">
      <x:c r="D31" s="63"/>
    </x:row>
    <x:row r="32">
      <x:c r="D32" s="63"/>
    </x:row>
    <x:row r="33">
      <x:c r="D33" s="63"/>
    </x:row>
    <x:row r="34">
      <x:c r="D34" s="63"/>
    </x:row>
    <x:row r="35">
      <x:c r="D35" s="63"/>
    </x:row>
    <x:row r="36">
      <x:c r="D36" s="63"/>
    </x:row>
    <x:row r="37">
      <x:c r="D37" s="63"/>
    </x:row>
    <x:row r="38">
      <x:c r="D38" s="63"/>
    </x:row>
    <x:row r="39">
      <x:c r="D39" s="63"/>
    </x:row>
    <x:row r="40">
      <x:c r="D40" s="63"/>
    </x:row>
    <x:row r="41">
      <x:c r="D41" s="63"/>
    </x:row>
    <x:row r="42">
      <x:c r="D42" s="63"/>
    </x:row>
    <x:row r="43">
      <x:c r="D43" s="63"/>
    </x:row>
    <x:row r="44">
      <x:c r="D44" s="63"/>
    </x:row>
    <x:row r="45">
      <x:c r="D45" s="63"/>
    </x:row>
    <x:row r="46">
      <x:c r="D46" s="63"/>
    </x:row>
    <x:row r="47">
      <x:c r="D47" s="63"/>
    </x:row>
    <x:row r="48">
      <x:c r="D48" s="63"/>
    </x:row>
    <x:row r="49">
      <x:c r="D49" s="63"/>
    </x:row>
    <x:row r="50">
      <x:c r="D50" s="63"/>
    </x:row>
    <x:row r="51">
      <x:c r="D51" s="63"/>
    </x:row>
    <x:row r="52">
      <x:c r="D52" s="63"/>
    </x:row>
    <x:row r="53">
      <x:c r="D53" s="63"/>
    </x:row>
    <x:row r="54">
      <x:c r="D54" s="63"/>
    </x:row>
    <x:row r="55">
      <x:c r="D55" s="63"/>
    </x:row>
    <x:row r="56">
      <x:c r="D56" s="63"/>
    </x:row>
    <x:row r="57">
      <x:c r="D57" s="63"/>
    </x:row>
    <x:row r="58">
      <x:c r="D58" s="63"/>
    </x:row>
    <x:row r="59">
      <x:c r="D59" s="63"/>
    </x:row>
    <x:row r="60">
      <x:c r="D60" s="63"/>
    </x:row>
    <x:row r="61">
      <x:c r="D61" s="63"/>
    </x:row>
    <x:row r="62">
      <x:c r="D62" s="63"/>
    </x:row>
    <x:row r="63">
      <x:c r="D63" s="63"/>
    </x:row>
    <x:row r="64">
      <x:c r="D64" s="63"/>
    </x:row>
    <x:row r="65">
      <x:c r="D65" s="63"/>
    </x:row>
    <x:row r="66">
      <x:c r="D66" s="63"/>
    </x:row>
    <x:row r="67">
      <x:c r="D67" s="63"/>
    </x:row>
    <x:row r="68">
      <x:c r="D68" s="63"/>
    </x:row>
    <x:row r="69">
      <x:c r="D69" s="63"/>
    </x:row>
    <x:row r="70">
      <x:c r="D70" s="63"/>
    </x:row>
    <x:row r="71">
      <x:c r="D71" s="63"/>
    </x:row>
    <x:row r="72">
      <x:c r="D72" s="63"/>
    </x:row>
    <x:row r="73">
      <x:c r="D73" s="63"/>
    </x:row>
    <x:row r="74">
      <x:c r="D74" s="63"/>
    </x:row>
    <x:row r="75">
      <x:c r="D75" s="63"/>
    </x:row>
    <x:row r="76">
      <x:c r="D76" s="63"/>
    </x:row>
    <x:row r="77">
      <x:c r="D77" s="63"/>
    </x:row>
    <x:row r="78">
      <x:c r="D78" s="63"/>
    </x:row>
    <x:row r="79">
      <x:c r="D79" s="63"/>
    </x:row>
    <x:row r="80">
      <x:c r="D80" s="63"/>
    </x:row>
    <x:row r="81">
      <x:c r="D81" s="63"/>
    </x:row>
    <x:row r="82">
      <x:c r="D82" s="63"/>
    </x:row>
    <x:row r="83">
      <x:c r="D83" s="63"/>
    </x:row>
    <x:row r="84">
      <x:c r="D84" s="63"/>
    </x:row>
    <x:row r="85">
      <x:c r="D85" s="63"/>
    </x:row>
    <x:row r="86">
      <x:c r="D86" s="63"/>
    </x:row>
    <x:row r="87">
      <x:c r="D87" s="63"/>
    </x:row>
    <x:row r="88">
      <x:c r="D88" s="63"/>
    </x:row>
    <x:row r="89">
      <x:c r="D89" s="63"/>
    </x:row>
    <x:row r="90">
      <x:c r="D90" s="63"/>
    </x:row>
    <x:row r="91">
      <x:c r="D91" s="63"/>
    </x:row>
    <x:row r="92">
      <x:c r="D92" s="63"/>
    </x:row>
    <x:row r="93">
      <x:c r="D93" s="63"/>
    </x:row>
    <x:row r="94">
      <x:c r="D94" s="63"/>
    </x:row>
    <x:row r="95">
      <x:c r="D95" s="63"/>
    </x:row>
    <x:row r="96">
      <x:c r="D96" s="63"/>
    </x:row>
    <x:row r="97">
      <x:c r="D97" s="63"/>
    </x:row>
    <x:row r="98">
      <x:c r="D98" s="63"/>
    </x:row>
    <x:row r="99">
      <x:c r="D99" s="63"/>
    </x:row>
    <x:row r="100">
      <x:c r="D100" s="63"/>
    </x:row>
    <x:row r="101">
      <x:c r="D101" s="63"/>
    </x:row>
    <x:row r="102">
      <x:c r="D102" s="63"/>
    </x:row>
    <x:row r="103">
      <x:c r="D103" s="63"/>
    </x:row>
    <x:row r="104">
      <x:c r="D104" s="63"/>
    </x:row>
  </x:sheetData>
  <x:mergeCells>
    <x:mergeCell ref="A1:E1"/>
    <x:mergeCell ref="A2:E2"/>
    <x:mergeCell ref="A3:E3"/>
  </x:mergeCells>
  <x:dataValidations count="1">
    <x:dataValidation type="list" sqref="C5:C104">
      <x:formula1>"admin,member"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36" hidden="0" customWidth="1"/>
  </x:cols>
  <x:sheetData>
    <x:row r="1" ht="34" customHeight="1">
      <x:c r="A1" s="4" t="str">
        <x:v>枚举选项</x:v>
      </x:c>
      <x:c r="B1" s="4"/>
      <x:c r="C1" s="4"/>
      <x:c r="D1" s="4"/>
    </x:row>
    <x:row r="2" ht="42" customHeight="1">
      <x:c r="A2" s="8" t="str">
        <x:v>下拉选项与当前工作台保持一致；请勿自行新增近义词，否则统计和完成判断可能不准确。 </x:v>
      </x:c>
      <x:c r="B2" s="8"/>
      <x:c r="C2" s="8"/>
      <x:c r="D2" s="8"/>
    </x:row>
    <x:row r="4" ht="34" customHeight="1">
      <x:c r="A4" s="44" t="str">
        <x:v>优先级</x:v>
      </x:c>
      <x:c r="B4" s="44" t="str">
        <x:v>推进进度</x:v>
      </x:c>
      <x:c r="C4" s="44" t="str">
        <x:v>跟进记录类型</x:v>
      </x:c>
      <x:c r="D4" s="44" t="str">
        <x:v>角色（仅备份记录）</x:v>
      </x:c>
    </x:row>
    <x:row r="5" ht="28" customHeight="1">
      <x:c r="A5" s="104" t="str">
        <x:v>P0</x:v>
      </x:c>
      <x:c r="B5" s="104" t="str">
        <x:v>未开始</x:v>
      </x:c>
      <x:c r="C5" s="104" t="str">
        <x:v>created</x:v>
      </x:c>
      <x:c r="D5" s="104" t="str">
        <x:v>admin</x:v>
      </x:c>
    </x:row>
    <x:row r="6" ht="28" customHeight="1">
      <x:c r="A6" s="104" t="str">
        <x:v>P1</x:v>
      </x:c>
      <x:c r="B6" s="104" t="str">
        <x:v>跟进中</x:v>
      </x:c>
      <x:c r="C6" s="104" t="str">
        <x:v>status_change</x:v>
      </x:c>
      <x:c r="D6" s="104" t="str">
        <x:v>member</x:v>
      </x:c>
    </x:row>
    <x:row r="7" ht="28" customHeight="1">
      <x:c r="A7" s="104" t="str">
        <x:v>P2</x:v>
      </x:c>
      <x:c r="B7" s="104" t="str">
        <x:v>阶段性完成</x:v>
      </x:c>
      <x:c r="C7" s="104" t="str">
        <x:v>follow_up</x:v>
      </x:c>
      <x:c r="D7" s="104" t="str"/>
    </x:row>
    <x:row r="8" ht="28" customHeight="1">
      <x:c r="A8" s="104" t="str"/>
      <x:c r="B8" s="104" t="str">
        <x:v>已完结</x:v>
      </x:c>
      <x:c r="C8" s="104" t="str"/>
      <x:c r="D8" s="104" t="str"/>
    </x:row>
    <x:row r="10" ht="34" customHeight="1">
      <x:c r="A10" s="44" t="str">
        <x:v>值</x:v>
      </x:c>
      <x:c r="B10" s="44" t="str">
        <x:v>中文含义</x:v>
      </x:c>
      <x:c r="C10" s="44" t="str">
        <x:v>适用场景</x:v>
      </x:c>
      <x:c r="D10" s="44" t="str">
        <x:v>注意事项</x:v>
      </x:c>
    </x:row>
    <x:row r="11" ht="38" customHeight="1">
      <x:c r="A11" s="105" t="str">
        <x:v>P0</x:v>
      </x:c>
      <x:c r="B11" s="105" t="str">
        <x:v>最高优先级</x:v>
      </x:c>
      <x:c r="C11" s="105" t="str">
        <x:v>严重影响客户或核心业务</x:v>
      </x:c>
      <x:c r="D11" s="105" t="str">
        <x:v>未完成 P0 会显示在驾驶舱</x:v>
      </x:c>
    </x:row>
    <x:row r="12" ht="38" customHeight="1">
      <x:c r="A12" s="105" t="str">
        <x:v>P1</x:v>
      </x:c>
      <x:c r="B12" s="105" t="str">
        <x:v>高优先级</x:v>
      </x:c>
      <x:c r="C12" s="105" t="str">
        <x:v>需要尽快跟进</x:v>
      </x:c>
      <x:c r="D12" s="105" t="str">
        <x:v>仅使用英文 P + 数字</x:v>
      </x:c>
    </x:row>
    <x:row r="13" ht="38" customHeight="1">
      <x:c r="A13" s="105" t="str">
        <x:v>P2</x:v>
      </x:c>
      <x:c r="B13" s="105" t="str">
        <x:v>普通优先级</x:v>
      </x:c>
      <x:c r="C13" s="105" t="str">
        <x:v>常规排查与安排</x:v>
      </x:c>
      <x:c r="D13" s="105" t="str">
        <x:v>仅使用英文 P + 数字</x:v>
      </x:c>
    </x:row>
    <x:row r="14" ht="38" customHeight="1">
      <x:c r="A14" s="105" t="str">
        <x:v>created</x:v>
      </x:c>
      <x:c r="B14" s="105" t="str">
        <x:v>新建记录</x:v>
      </x:c>
      <x:c r="C14" s="105" t="str">
        <x:v>工单创建时的历史记录</x:v>
      </x:c>
      <x:c r="D14" s="105" t="str">
        <x:v>写入跟进记录的 type</x:v>
      </x:c>
    </x:row>
    <x:row r="15" ht="38" customHeight="1">
      <x:c r="A15" s="105" t="str">
        <x:v>status_change</x:v>
      </x:c>
      <x:c r="B15" s="105" t="str">
        <x:v>状态变更</x:v>
      </x:c>
      <x:c r="C15" s="105" t="str">
        <x:v>推进状态发生变化</x:v>
      </x:c>
      <x:c r="D15" s="105" t="str">
        <x:v>建议同时填原状态和新状态</x:v>
      </x:c>
    </x:row>
    <x:row r="16" ht="38" customHeight="1">
      <x:c r="A16" s="105" t="str">
        <x:v>follow_up</x:v>
      </x:c>
      <x:c r="B16" s="105" t="str">
        <x:v>普通跟进</x:v>
      </x:c>
      <x:c r="C16" s="105" t="str">
        <x:v>补充处理进展</x:v>
      </x:c>
      <x:c r="D16" s="105" t="str">
        <x:v>跟进内容必须填写</x:v>
      </x:c>
    </x:row>
    <x:row r="17" ht="38" customHeight="1">
      <x:c r="A17" s="105" t="str">
        <x:v>已完结</x:v>
      </x:c>
      <x:c r="B17" s="105" t="str">
        <x:v>完成状态</x:v>
      </x:c>
      <x:c r="C17" s="105" t="str">
        <x:v>工单完成并进入归档</x:v>
      </x:c>
      <x:c r="D17" s="105" t="str">
        <x:v>必须精确写“已完结”</x:v>
      </x:c>
    </x:row>
  </x:sheetData>
  <x:mergeCells>
    <x:mergeCell ref="A1:D1"/>
    <x:mergeCell ref="A2:D2"/>
  </x:mergeCells>
  <x:pageMargins left="0.7" right="0.7" top="0.75" bottom="0.75" header="0.3" footer="0.3"/>
</x:worksheet>
</file>